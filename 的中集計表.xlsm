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no/Dropbox/a/bin/"/>
    </mc:Choice>
  </mc:AlternateContent>
  <xr:revisionPtr revIDLastSave="0" documentId="13_ncr:1_{E62DE038-48FA-514D-A718-017DC3864DA8}" xr6:coauthVersionLast="40" xr6:coauthVersionMax="40" xr10:uidLastSave="{00000000-0000-0000-0000-000000000000}"/>
  <bookViews>
    <workbookView xWindow="0" yWindow="460" windowWidth="26920" windowHeight="16580" tabRatio="500" xr2:uid="{00000000-000D-0000-FFFF-FFFF00000000}"/>
  </bookViews>
  <sheets>
    <sheet name="データ" sheetId="1" r:id="rId1"/>
    <sheet name="テンプレート" sheetId="2" r:id="rId2"/>
    <sheet name="3(火)" sheetId="6" r:id="rId3"/>
    <sheet name="7(土)" sheetId="7" r:id="rId4"/>
    <sheet name="8(日)" sheetId="8" r:id="rId5"/>
    <sheet name="10(火)" sheetId="9" r:id="rId6"/>
    <sheet name="集計" sheetId="4" r:id="rId7"/>
    <sheet name="個人的中表" sheetId="5" r:id="rId8"/>
  </sheets>
  <definedNames>
    <definedName name="Z_EF68B12E_EBBA_2A41_A53D_5D4E56265AE9_.wvu.Cols" localSheetId="5" hidden="1">'10(火)'!$V:$AO</definedName>
    <definedName name="Z_EF68B12E_EBBA_2A41_A53D_5D4E56265AE9_.wvu.Cols" localSheetId="2" hidden="1">'3(火)'!$V:$AO</definedName>
    <definedName name="Z_EF68B12E_EBBA_2A41_A53D_5D4E56265AE9_.wvu.Cols" localSheetId="3" hidden="1">'7(土)'!$V:$AO</definedName>
    <definedName name="Z_EF68B12E_EBBA_2A41_A53D_5D4E56265AE9_.wvu.Cols" localSheetId="4" hidden="1">'8(日)'!$V:$AO</definedName>
    <definedName name="Z_EF68B12E_EBBA_2A41_A53D_5D4E56265AE9_.wvu.Cols" localSheetId="1" hidden="1">テンプレート!$V:$AO</definedName>
    <definedName name="弓道部メンバー表" localSheetId="5">'10(火)'!$A$5:$A$1048576</definedName>
    <definedName name="弓道部メンバー表" localSheetId="2">'3(火)'!$A$5:$A$1048576</definedName>
    <definedName name="弓道部メンバー表" localSheetId="3">'7(土)'!$A$5:$A$1048576</definedName>
    <definedName name="弓道部メンバー表" localSheetId="4">'8(日)'!$A$5:$A$1048576</definedName>
    <definedName name="弓道部メンバー表" localSheetId="1">テンプレート!$A$5:$A$1048576</definedName>
  </definedNames>
  <calcPr calcId="191029" concurrentCalc="0"/>
  <customWorkbookViews>
    <customWorkbookView name="尾野公哉 - 個人用ビュー" guid="{EF68B12E-EBBA-2A41-A53D-5D4E56265AE9}" mergeInterval="0" personalView="1" yWindow="22" windowWidth="1322" windowHeight="830" tabRatio="500" activeSheetId="4"/>
  </customWorkbookViews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52" i="4" l="1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4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B6" i="4"/>
  <c r="B46" i="4"/>
  <c r="B47" i="4"/>
  <c r="B48" i="4"/>
  <c r="B49" i="4"/>
  <c r="B51" i="4"/>
  <c r="B52" i="4"/>
  <c r="B4" i="4"/>
  <c r="B5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9" i="4"/>
  <c r="B40" i="4"/>
  <c r="B41" i="4"/>
  <c r="B42" i="4"/>
  <c r="B43" i="4"/>
  <c r="B44" i="4"/>
  <c r="B45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9" i="4"/>
  <c r="V40" i="4"/>
  <c r="V41" i="4"/>
  <c r="V42" i="4"/>
  <c r="V43" i="4"/>
  <c r="V44" i="4"/>
  <c r="V45" i="4"/>
  <c r="V46" i="4"/>
  <c r="V47" i="4"/>
  <c r="V48" i="4"/>
  <c r="V49" i="4"/>
  <c r="V51" i="4"/>
  <c r="V52" i="4"/>
  <c r="L5" i="4"/>
  <c r="O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N5" i="4"/>
  <c r="P5" i="4"/>
  <c r="Q5" i="4"/>
  <c r="R5" i="4"/>
  <c r="O6" i="4"/>
  <c r="N6" i="4"/>
  <c r="P6" i="4"/>
  <c r="Q6" i="4"/>
  <c r="R6" i="4"/>
  <c r="O7" i="4"/>
  <c r="N7" i="4"/>
  <c r="P7" i="4"/>
  <c r="Q7" i="4"/>
  <c r="R7" i="4"/>
  <c r="O8" i="4"/>
  <c r="N8" i="4"/>
  <c r="P8" i="4"/>
  <c r="Q8" i="4"/>
  <c r="R8" i="4"/>
  <c r="O9" i="4"/>
  <c r="N9" i="4"/>
  <c r="P9" i="4"/>
  <c r="Q9" i="4"/>
  <c r="R9" i="4"/>
  <c r="O10" i="4"/>
  <c r="N10" i="4"/>
  <c r="P10" i="4"/>
  <c r="Q10" i="4"/>
  <c r="R10" i="4"/>
  <c r="O11" i="4"/>
  <c r="N11" i="4"/>
  <c r="P11" i="4"/>
  <c r="Q11" i="4"/>
  <c r="R11" i="4"/>
  <c r="O12" i="4"/>
  <c r="N12" i="4"/>
  <c r="P12" i="4"/>
  <c r="Q12" i="4"/>
  <c r="R12" i="4"/>
  <c r="O13" i="4"/>
  <c r="N13" i="4"/>
  <c r="P13" i="4"/>
  <c r="Q13" i="4"/>
  <c r="R13" i="4"/>
  <c r="O14" i="4"/>
  <c r="N14" i="4"/>
  <c r="P14" i="4"/>
  <c r="Q14" i="4"/>
  <c r="R14" i="4"/>
  <c r="O15" i="4"/>
  <c r="N15" i="4"/>
  <c r="P15" i="4"/>
  <c r="Q15" i="4"/>
  <c r="R15" i="4"/>
  <c r="O16" i="4"/>
  <c r="N16" i="4"/>
  <c r="P16" i="4"/>
  <c r="Q16" i="4"/>
  <c r="R16" i="4"/>
  <c r="O17" i="4"/>
  <c r="N17" i="4"/>
  <c r="P17" i="4"/>
  <c r="Q17" i="4"/>
  <c r="R17" i="4"/>
  <c r="O18" i="4"/>
  <c r="N18" i="4"/>
  <c r="P18" i="4"/>
  <c r="Q18" i="4"/>
  <c r="R18" i="4"/>
  <c r="O19" i="4"/>
  <c r="N19" i="4"/>
  <c r="P19" i="4"/>
  <c r="Q19" i="4"/>
  <c r="R19" i="4"/>
  <c r="O20" i="4"/>
  <c r="N20" i="4"/>
  <c r="P20" i="4"/>
  <c r="Q20" i="4"/>
  <c r="R20" i="4"/>
  <c r="O21" i="4"/>
  <c r="N21" i="4"/>
  <c r="P21" i="4"/>
  <c r="Q21" i="4"/>
  <c r="R21" i="4"/>
  <c r="O22" i="4"/>
  <c r="N22" i="4"/>
  <c r="P22" i="4"/>
  <c r="Q22" i="4"/>
  <c r="R22" i="4"/>
  <c r="O23" i="4"/>
  <c r="N23" i="4"/>
  <c r="P23" i="4"/>
  <c r="Q23" i="4"/>
  <c r="R23" i="4"/>
  <c r="O24" i="4"/>
  <c r="N24" i="4"/>
  <c r="P24" i="4"/>
  <c r="Q24" i="4"/>
  <c r="R24" i="4"/>
  <c r="O25" i="4"/>
  <c r="N25" i="4"/>
  <c r="P25" i="4"/>
  <c r="Q25" i="4"/>
  <c r="R25" i="4"/>
  <c r="O26" i="4"/>
  <c r="N26" i="4"/>
  <c r="P26" i="4"/>
  <c r="Q26" i="4"/>
  <c r="R26" i="4"/>
  <c r="O27" i="4"/>
  <c r="N27" i="4"/>
  <c r="P27" i="4"/>
  <c r="Q27" i="4"/>
  <c r="R27" i="4"/>
  <c r="O28" i="4"/>
  <c r="N28" i="4"/>
  <c r="P28" i="4"/>
  <c r="Q28" i="4"/>
  <c r="R28" i="4"/>
  <c r="O29" i="4"/>
  <c r="N29" i="4"/>
  <c r="P29" i="4"/>
  <c r="Q29" i="4"/>
  <c r="R29" i="4"/>
  <c r="O30" i="4"/>
  <c r="N30" i="4"/>
  <c r="P30" i="4"/>
  <c r="Q30" i="4"/>
  <c r="R30" i="4"/>
  <c r="O31" i="4"/>
  <c r="N31" i="4"/>
  <c r="P31" i="4"/>
  <c r="Q31" i="4"/>
  <c r="R31" i="4"/>
  <c r="O32" i="4"/>
  <c r="N32" i="4"/>
  <c r="P32" i="4"/>
  <c r="Q32" i="4"/>
  <c r="R32" i="4"/>
  <c r="O33" i="4"/>
  <c r="N33" i="4"/>
  <c r="P33" i="4"/>
  <c r="Q33" i="4"/>
  <c r="R33" i="4"/>
  <c r="O34" i="4"/>
  <c r="N34" i="4"/>
  <c r="P34" i="4"/>
  <c r="Q34" i="4"/>
  <c r="R34" i="4"/>
  <c r="O35" i="4"/>
  <c r="N35" i="4"/>
  <c r="P35" i="4"/>
  <c r="Q35" i="4"/>
  <c r="R35" i="4"/>
  <c r="O36" i="4"/>
  <c r="N36" i="4"/>
  <c r="P36" i="4"/>
  <c r="Q36" i="4"/>
  <c r="R36" i="4"/>
  <c r="O37" i="4"/>
  <c r="N37" i="4"/>
  <c r="P37" i="4"/>
  <c r="Q37" i="4"/>
  <c r="R37" i="4"/>
  <c r="O38" i="4"/>
  <c r="N38" i="4"/>
  <c r="P38" i="4"/>
  <c r="Q38" i="4"/>
  <c r="R38" i="4"/>
  <c r="O39" i="4"/>
  <c r="N39" i="4"/>
  <c r="P39" i="4"/>
  <c r="Q39" i="4"/>
  <c r="R39" i="4"/>
  <c r="O40" i="4"/>
  <c r="N40" i="4"/>
  <c r="P40" i="4"/>
  <c r="Q40" i="4"/>
  <c r="R40" i="4"/>
  <c r="O41" i="4"/>
  <c r="N41" i="4"/>
  <c r="P41" i="4"/>
  <c r="Q41" i="4"/>
  <c r="R41" i="4"/>
  <c r="O42" i="4"/>
  <c r="N42" i="4"/>
  <c r="P42" i="4"/>
  <c r="Q42" i="4"/>
  <c r="R42" i="4"/>
  <c r="O43" i="4"/>
  <c r="N43" i="4"/>
  <c r="P43" i="4"/>
  <c r="Q43" i="4"/>
  <c r="R43" i="4"/>
  <c r="O44" i="4"/>
  <c r="N44" i="4"/>
  <c r="P44" i="4"/>
  <c r="Q44" i="4"/>
  <c r="R44" i="4"/>
  <c r="O45" i="4"/>
  <c r="N45" i="4"/>
  <c r="P45" i="4"/>
  <c r="Q45" i="4"/>
  <c r="R45" i="4"/>
  <c r="O46" i="4"/>
  <c r="N46" i="4"/>
  <c r="P46" i="4"/>
  <c r="Q46" i="4"/>
  <c r="R46" i="4"/>
  <c r="O47" i="4"/>
  <c r="N47" i="4"/>
  <c r="P47" i="4"/>
  <c r="Q47" i="4"/>
  <c r="R47" i="4"/>
  <c r="O48" i="4"/>
  <c r="N48" i="4"/>
  <c r="P48" i="4"/>
  <c r="Q48" i="4"/>
  <c r="R48" i="4"/>
  <c r="O49" i="4"/>
  <c r="N49" i="4"/>
  <c r="P49" i="4"/>
  <c r="Q49" i="4"/>
  <c r="R49" i="4"/>
  <c r="L4" i="4"/>
  <c r="N4" i="4"/>
  <c r="R4" i="4"/>
  <c r="Q4" i="4"/>
  <c r="P4" i="4"/>
  <c r="O4" i="4"/>
  <c r="D5" i="1"/>
  <c r="E5" i="1"/>
  <c r="F5" i="1"/>
  <c r="G5" i="1"/>
  <c r="D6" i="1"/>
  <c r="E6" i="1"/>
  <c r="F6" i="1"/>
  <c r="G6" i="1"/>
  <c r="D7" i="1"/>
  <c r="E7" i="1"/>
  <c r="F7" i="1"/>
  <c r="G7" i="1"/>
  <c r="D8" i="1"/>
  <c r="E8" i="1"/>
  <c r="F8" i="1"/>
  <c r="G8" i="1"/>
  <c r="D9" i="1"/>
  <c r="E9" i="1"/>
  <c r="F9" i="1"/>
  <c r="G9" i="1"/>
  <c r="D10" i="1"/>
  <c r="E10" i="1"/>
  <c r="F10" i="1"/>
  <c r="G10" i="1"/>
  <c r="D11" i="1"/>
  <c r="E11" i="1"/>
  <c r="F11" i="1"/>
  <c r="G11" i="1"/>
  <c r="D12" i="1"/>
  <c r="E12" i="1"/>
  <c r="F12" i="1"/>
  <c r="G12" i="1"/>
  <c r="D13" i="1"/>
  <c r="E13" i="1"/>
  <c r="F13" i="1"/>
  <c r="G13" i="1"/>
  <c r="D14" i="1"/>
  <c r="E14" i="1"/>
  <c r="F14" i="1"/>
  <c r="G14" i="1"/>
  <c r="D15" i="1"/>
  <c r="E15" i="1"/>
  <c r="F15" i="1"/>
  <c r="G15" i="1"/>
  <c r="D16" i="1"/>
  <c r="E16" i="1"/>
  <c r="F16" i="1"/>
  <c r="G16" i="1"/>
  <c r="D17" i="1"/>
  <c r="E17" i="1"/>
  <c r="F17" i="1"/>
  <c r="G17" i="1"/>
  <c r="D18" i="1"/>
  <c r="E18" i="1"/>
  <c r="F18" i="1"/>
  <c r="G18" i="1"/>
  <c r="D19" i="1"/>
  <c r="E19" i="1"/>
  <c r="F19" i="1"/>
  <c r="G19" i="1"/>
  <c r="D21" i="1"/>
  <c r="E21" i="1"/>
  <c r="F21" i="1"/>
  <c r="G21" i="1"/>
  <c r="D22" i="1"/>
  <c r="E22" i="1"/>
  <c r="F22" i="1"/>
  <c r="G22" i="1"/>
  <c r="D23" i="1"/>
  <c r="E23" i="1"/>
  <c r="F23" i="1"/>
  <c r="G23" i="1"/>
  <c r="D24" i="1"/>
  <c r="E24" i="1"/>
  <c r="F24" i="1"/>
  <c r="G24" i="1"/>
  <c r="D25" i="1"/>
  <c r="E25" i="1"/>
  <c r="F25" i="1"/>
  <c r="G25" i="1"/>
  <c r="D26" i="1"/>
  <c r="E26" i="1"/>
  <c r="F26" i="1"/>
  <c r="G26" i="1"/>
  <c r="D27" i="1"/>
  <c r="E27" i="1"/>
  <c r="F27" i="1"/>
  <c r="G27" i="1"/>
  <c r="D28" i="1"/>
  <c r="E28" i="1"/>
  <c r="F28" i="1"/>
  <c r="G28" i="1"/>
  <c r="D29" i="1"/>
  <c r="E29" i="1"/>
  <c r="F29" i="1"/>
  <c r="G29" i="1"/>
  <c r="D30" i="1"/>
  <c r="E30" i="1"/>
  <c r="F30" i="1"/>
  <c r="G30" i="1"/>
  <c r="D31" i="1"/>
  <c r="E31" i="1"/>
  <c r="F31" i="1"/>
  <c r="G31" i="1"/>
  <c r="D32" i="1"/>
  <c r="E32" i="1"/>
  <c r="F32" i="1"/>
  <c r="G32" i="1"/>
  <c r="D33" i="1"/>
  <c r="E33" i="1"/>
  <c r="F33" i="1"/>
  <c r="G33" i="1"/>
  <c r="D34" i="1"/>
  <c r="E34" i="1"/>
  <c r="F34" i="1"/>
  <c r="G34" i="1"/>
  <c r="D35" i="1"/>
  <c r="E35" i="1"/>
  <c r="F35" i="1"/>
  <c r="G35" i="1"/>
  <c r="D36" i="1"/>
  <c r="E36" i="1"/>
  <c r="F36" i="1"/>
  <c r="G36" i="1"/>
  <c r="D37" i="1"/>
  <c r="E37" i="1"/>
  <c r="F37" i="1"/>
  <c r="G37" i="1"/>
  <c r="D39" i="1"/>
  <c r="E39" i="1"/>
  <c r="F39" i="1"/>
  <c r="G39" i="1"/>
  <c r="D40" i="1"/>
  <c r="E40" i="1"/>
  <c r="F40" i="1"/>
  <c r="G40" i="1"/>
  <c r="D41" i="1"/>
  <c r="E41" i="1"/>
  <c r="F41" i="1"/>
  <c r="G41" i="1"/>
  <c r="D42" i="1"/>
  <c r="E42" i="1"/>
  <c r="F42" i="1"/>
  <c r="G42" i="1"/>
  <c r="D43" i="1"/>
  <c r="E43" i="1"/>
  <c r="F43" i="1"/>
  <c r="G43" i="1"/>
  <c r="D44" i="1"/>
  <c r="E44" i="1"/>
  <c r="F44" i="1"/>
  <c r="G44" i="1"/>
  <c r="D45" i="1"/>
  <c r="E45" i="1"/>
  <c r="F45" i="1"/>
  <c r="G45" i="1"/>
  <c r="D46" i="1"/>
  <c r="E46" i="1"/>
  <c r="F46" i="1"/>
  <c r="G46" i="1"/>
  <c r="D47" i="1"/>
  <c r="E47" i="1"/>
  <c r="F47" i="1"/>
  <c r="G47" i="1"/>
  <c r="D48" i="1"/>
  <c r="E48" i="1"/>
  <c r="F48" i="1"/>
  <c r="G48" i="1"/>
  <c r="D49" i="1"/>
  <c r="E49" i="1"/>
  <c r="F49" i="1"/>
  <c r="G49" i="1"/>
  <c r="D51" i="1"/>
  <c r="E51" i="1"/>
  <c r="F51" i="1"/>
  <c r="G51" i="1"/>
  <c r="D52" i="1"/>
  <c r="E52" i="1"/>
  <c r="F52" i="1"/>
  <c r="G52" i="1"/>
  <c r="C24" i="5"/>
  <c r="E22" i="5"/>
  <c r="C22" i="5"/>
  <c r="G4" i="5"/>
  <c r="E4" i="5"/>
  <c r="C4" i="5"/>
  <c r="G24" i="5"/>
  <c r="E24" i="5"/>
  <c r="G2" i="1"/>
  <c r="G4" i="1"/>
  <c r="F4" i="1"/>
  <c r="E4" i="1"/>
  <c r="D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2EE71D-4D43-2149-BD6A-9574661A0ED1}" name="弓道部メンバー表" type="6" refreshedVersion="0" deleted="1" background="1" saveData="1">
    <textPr codePage="65001" sourceFile="/Users/ono/Desktop/弓道部メンバー表.txt">
      <textFields>
        <textField/>
      </textFields>
    </textPr>
  </connection>
</connections>
</file>

<file path=xl/sharedStrings.xml><?xml version="1.0" encoding="utf-8"?>
<sst xmlns="http://schemas.openxmlformats.org/spreadsheetml/2006/main" count="561" uniqueCount="138">
  <si>
    <t>2立</t>
    <phoneticPr fontId="3"/>
  </si>
  <si>
    <t>3立</t>
    <phoneticPr fontId="3"/>
  </si>
  <si>
    <t>4立</t>
    <phoneticPr fontId="3"/>
  </si>
  <si>
    <t>5立</t>
    <phoneticPr fontId="3"/>
  </si>
  <si>
    <t>的中率</t>
    <phoneticPr fontId="3"/>
  </si>
  <si>
    <t>4中</t>
  </si>
  <si>
    <t>3中</t>
  </si>
  <si>
    <t>2中</t>
  </si>
  <si>
    <t>1中</t>
  </si>
  <si>
    <t>0中</t>
  </si>
  <si>
    <t>総射数</t>
    <phoneticPr fontId="3"/>
  </si>
  <si>
    <t>氏名</t>
    <phoneticPr fontId="3"/>
  </si>
  <si>
    <t>日</t>
    <phoneticPr fontId="3"/>
  </si>
  <si>
    <t>曜日</t>
    <phoneticPr fontId="3"/>
  </si>
  <si>
    <t>天気</t>
    <phoneticPr fontId="3"/>
  </si>
  <si>
    <t>部内順位</t>
    <phoneticPr fontId="3"/>
  </si>
  <si>
    <t>的中率</t>
    <phoneticPr fontId="3"/>
  </si>
  <si>
    <t>総射数</t>
  </si>
  <si>
    <t>総的中数</t>
  </si>
  <si>
    <t>氏名</t>
    <phoneticPr fontId="3"/>
  </si>
  <si>
    <t>個人的中表</t>
    <phoneticPr fontId="3"/>
  </si>
  <si>
    <t>立ち数</t>
    <phoneticPr fontId="3"/>
  </si>
  <si>
    <t>各的中数</t>
    <phoneticPr fontId="3"/>
  </si>
  <si>
    <t>※印刷範囲外</t>
    <phoneticPr fontId="3"/>
  </si>
  <si>
    <t>1本目</t>
  </si>
  <si>
    <t>2本目</t>
  </si>
  <si>
    <t>3本目</t>
  </si>
  <si>
    <t>4本目</t>
  </si>
  <si>
    <t>最高的中率</t>
    <phoneticPr fontId="3"/>
  </si>
  <si>
    <t>最低的中率</t>
    <phoneticPr fontId="3"/>
  </si>
  <si>
    <t>的中率</t>
    <phoneticPr fontId="3"/>
  </si>
  <si>
    <t>※立ちのみ集計</t>
    <phoneticPr fontId="3"/>
  </si>
  <si>
    <t>皆中数</t>
    <phoneticPr fontId="3"/>
  </si>
  <si>
    <t>スケベ数</t>
    <phoneticPr fontId="3"/>
  </si>
  <si>
    <t>名簿</t>
    <rPh sb="0" eb="2">
      <t>メイボ</t>
    </rPh>
    <phoneticPr fontId="3"/>
  </si>
  <si>
    <t>的中順位</t>
    <rPh sb="0" eb="2">
      <t>テキチュウ</t>
    </rPh>
    <rPh sb="2" eb="4">
      <t>ジュンイ</t>
    </rPh>
    <phoneticPr fontId="3"/>
  </si>
  <si>
    <t>スケベ数</t>
    <phoneticPr fontId="3"/>
  </si>
  <si>
    <t>皆中数</t>
    <rPh sb="0" eb="2">
      <t>カイチュウ</t>
    </rPh>
    <rPh sb="2" eb="3">
      <t>スウ</t>
    </rPh>
    <phoneticPr fontId="3"/>
  </si>
  <si>
    <t>1立</t>
    <phoneticPr fontId="3"/>
  </si>
  <si>
    <t>的中数</t>
    <phoneticPr fontId="3"/>
  </si>
  <si>
    <t>立ち回数</t>
    <phoneticPr fontId="3"/>
  </si>
  <si>
    <t>備考</t>
    <rPh sb="0" eb="2">
      <t>ビコウラン</t>
    </rPh>
    <phoneticPr fontId="3"/>
  </si>
  <si>
    <t>的中表</t>
    <phoneticPr fontId="3"/>
  </si>
  <si>
    <t>総的中数</t>
    <phoneticPr fontId="3"/>
  </si>
  <si>
    <t>月</t>
    <phoneticPr fontId="3"/>
  </si>
  <si>
    <t>月</t>
    <rPh sb="0" eb="1">
      <t>ツキ</t>
    </rPh>
    <phoneticPr fontId="3"/>
  </si>
  <si>
    <t>6立</t>
    <phoneticPr fontId="3"/>
  </si>
  <si>
    <t>7立</t>
    <rPh sb="1" eb="2">
      <t>タチ</t>
    </rPh>
    <phoneticPr fontId="3"/>
  </si>
  <si>
    <t>8立</t>
    <rPh sb="1" eb="2">
      <t>タチ</t>
    </rPh>
    <phoneticPr fontId="3"/>
  </si>
  <si>
    <t>9立</t>
    <phoneticPr fontId="3"/>
  </si>
  <si>
    <t>10立</t>
    <phoneticPr fontId="3"/>
  </si>
  <si>
    <t>出席率</t>
    <rPh sb="0" eb="3">
      <t>シュッセキリツ</t>
    </rPh>
    <phoneticPr fontId="3"/>
  </si>
  <si>
    <t>ス</t>
    <phoneticPr fontId="3"/>
  </si>
  <si>
    <t>日</t>
    <rPh sb="0" eb="1">
      <t>ニチ</t>
    </rPh>
    <phoneticPr fontId="3"/>
  </si>
  <si>
    <t>-</t>
    <phoneticPr fontId="3"/>
  </si>
  <si>
    <t>前月的中率</t>
    <rPh sb="0" eb="1">
      <t>ゼン</t>
    </rPh>
    <rPh sb="1" eb="2">
      <t>センゲツ</t>
    </rPh>
    <rPh sb="2" eb="4">
      <t>テキチュウ</t>
    </rPh>
    <rPh sb="4" eb="5">
      <t>リツ</t>
    </rPh>
    <phoneticPr fontId="3"/>
  </si>
  <si>
    <t>先月差</t>
    <rPh sb="0" eb="1">
      <t>セン</t>
    </rPh>
    <rPh sb="1" eb="2">
      <t>ゼンゲツ</t>
    </rPh>
    <rPh sb="2" eb="3">
      <t>サ</t>
    </rPh>
    <phoneticPr fontId="3"/>
  </si>
  <si>
    <t>○</t>
    <phoneticPr fontId="3"/>
  </si>
  <si>
    <t>×</t>
    <rPh sb="0" eb="1">
      <t>☓</t>
    </rPh>
    <phoneticPr fontId="3"/>
  </si>
  <si>
    <t>月</t>
  </si>
  <si>
    <t>火</t>
  </si>
  <si>
    <t>水</t>
  </si>
  <si>
    <t>木</t>
  </si>
  <si>
    <t>金</t>
  </si>
  <si>
    <t>土</t>
  </si>
  <si>
    <t>日</t>
  </si>
  <si>
    <t>皆</t>
    <rPh sb="0" eb="1">
      <t>カイ</t>
    </rPh>
    <phoneticPr fontId="3"/>
  </si>
  <si>
    <t xml:space="preserve"> </t>
    <phoneticPr fontId="3"/>
  </si>
  <si>
    <t>三年生</t>
    <rPh sb="0" eb="1">
      <t>ニ</t>
    </rPh>
    <phoneticPr fontId="3"/>
  </si>
  <si>
    <t>四年生</t>
  </si>
  <si>
    <t>一年生</t>
  </si>
  <si>
    <t>二年生</t>
  </si>
  <si>
    <t>位</t>
    <rPh sb="0" eb="1">
      <t>イ</t>
    </rPh>
    <phoneticPr fontId="3"/>
  </si>
  <si>
    <t>b</t>
  </si>
  <si>
    <t>b</t>
    <phoneticPr fontId="3"/>
  </si>
  <si>
    <t>c</t>
    <phoneticPr fontId="3"/>
  </si>
  <si>
    <t>d</t>
  </si>
  <si>
    <t>d</t>
    <phoneticPr fontId="3"/>
  </si>
  <si>
    <t>e</t>
    <phoneticPr fontId="3"/>
  </si>
  <si>
    <t>f</t>
    <phoneticPr fontId="3"/>
  </si>
  <si>
    <t>g</t>
    <phoneticPr fontId="3"/>
  </si>
  <si>
    <t>h</t>
  </si>
  <si>
    <t>h</t>
    <phoneticPr fontId="3"/>
  </si>
  <si>
    <t>i</t>
  </si>
  <si>
    <t>i</t>
    <phoneticPr fontId="3"/>
  </si>
  <si>
    <t>j</t>
    <phoneticPr fontId="3"/>
  </si>
  <si>
    <t>k</t>
    <phoneticPr fontId="3"/>
  </si>
  <si>
    <t>l</t>
    <phoneticPr fontId="3"/>
  </si>
  <si>
    <t>m</t>
    <phoneticPr fontId="3"/>
  </si>
  <si>
    <t>n</t>
    <phoneticPr fontId="3"/>
  </si>
  <si>
    <t>o</t>
  </si>
  <si>
    <t>o</t>
    <phoneticPr fontId="3"/>
  </si>
  <si>
    <t>p</t>
    <phoneticPr fontId="3"/>
  </si>
  <si>
    <t>q</t>
    <phoneticPr fontId="3"/>
  </si>
  <si>
    <t>r</t>
    <phoneticPr fontId="3"/>
  </si>
  <si>
    <t>s</t>
    <phoneticPr fontId="3"/>
  </si>
  <si>
    <t>t</t>
    <phoneticPr fontId="3"/>
  </si>
  <si>
    <t>u</t>
    <phoneticPr fontId="3"/>
  </si>
  <si>
    <t>v</t>
    <phoneticPr fontId="3"/>
  </si>
  <si>
    <t>w</t>
    <phoneticPr fontId="3"/>
  </si>
  <si>
    <t>x</t>
    <phoneticPr fontId="3"/>
  </si>
  <si>
    <t>y</t>
    <phoneticPr fontId="3"/>
  </si>
  <si>
    <t>z</t>
  </si>
  <si>
    <t>z</t>
    <phoneticPr fontId="3"/>
  </si>
  <si>
    <t>a1</t>
    <phoneticPr fontId="3"/>
  </si>
  <si>
    <t>b1</t>
    <phoneticPr fontId="3"/>
  </si>
  <si>
    <t>c1</t>
    <phoneticPr fontId="3"/>
  </si>
  <si>
    <t>d1</t>
    <phoneticPr fontId="3"/>
  </si>
  <si>
    <t>e1</t>
    <phoneticPr fontId="3"/>
  </si>
  <si>
    <t>f1</t>
  </si>
  <si>
    <t>f1</t>
    <phoneticPr fontId="3"/>
  </si>
  <si>
    <t>g1</t>
    <phoneticPr fontId="3"/>
  </si>
  <si>
    <t>h1</t>
    <phoneticPr fontId="3"/>
  </si>
  <si>
    <t>i1</t>
    <phoneticPr fontId="3"/>
  </si>
  <si>
    <t>j1</t>
    <phoneticPr fontId="3"/>
  </si>
  <si>
    <t>k1</t>
    <phoneticPr fontId="3"/>
  </si>
  <si>
    <t>l1</t>
    <phoneticPr fontId="3"/>
  </si>
  <si>
    <t>m1</t>
    <phoneticPr fontId="3"/>
  </si>
  <si>
    <t>n1</t>
    <phoneticPr fontId="3"/>
  </si>
  <si>
    <t>o1</t>
    <phoneticPr fontId="3"/>
  </si>
  <si>
    <t>p1</t>
    <phoneticPr fontId="3"/>
  </si>
  <si>
    <t>q1</t>
    <phoneticPr fontId="3"/>
  </si>
  <si>
    <t>r1</t>
    <phoneticPr fontId="3"/>
  </si>
  <si>
    <t>s1</t>
  </si>
  <si>
    <t>s1</t>
    <phoneticPr fontId="3"/>
  </si>
  <si>
    <t>t1</t>
    <phoneticPr fontId="3"/>
  </si>
  <si>
    <t>u1</t>
    <phoneticPr fontId="3"/>
  </si>
  <si>
    <t>v1</t>
    <phoneticPr fontId="3"/>
  </si>
  <si>
    <t>w1</t>
    <phoneticPr fontId="3"/>
  </si>
  <si>
    <t>○</t>
  </si>
  <si>
    <t>aa</t>
  </si>
  <si>
    <t>aa</t>
    <phoneticPr fontId="3"/>
  </si>
  <si>
    <t>×</t>
  </si>
  <si>
    <t>×</t>
    <phoneticPr fontId="3"/>
  </si>
  <si>
    <t>3(火)</t>
  </si>
  <si>
    <t>7(土)</t>
  </si>
  <si>
    <t>8(日)</t>
  </si>
  <si>
    <t>10(火)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</si>
</sst>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d&quot;月&quot;"/>
  </numFmts>
  <fonts count="16" x14ac:knownFonts="1"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2"/>
      <color rgb="FF000000"/>
      <name val="Helvetica"/>
      <family val="2"/>
    </font>
    <font>
      <sz val="12"/>
      <color rgb="FF000000"/>
      <name val="Yu Gothic"/>
      <family val="3"/>
      <charset val="128"/>
    </font>
    <font>
      <sz val="12"/>
      <color rgb="FFFF0000"/>
      <name val="Yu Gothic"/>
      <family val="2"/>
      <charset val="128"/>
      <scheme val="minor"/>
    </font>
    <font>
      <b/>
      <sz val="16"/>
      <color theme="1"/>
      <name val="Yu Gothic"/>
      <family val="2"/>
      <charset val="128"/>
      <scheme val="minor"/>
    </font>
    <font>
      <b/>
      <sz val="20"/>
      <color theme="1"/>
      <name val="Yu Gothic"/>
      <family val="3"/>
      <charset val="128"/>
      <scheme val="minor"/>
    </font>
    <font>
      <b/>
      <sz val="14"/>
      <color theme="1"/>
      <name val="Yu Gothic"/>
      <family val="2"/>
      <charset val="128"/>
      <scheme val="minor"/>
    </font>
    <font>
      <b/>
      <sz val="12"/>
      <color theme="1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sz val="12"/>
      <color rgb="FFFF0000"/>
      <name val="Yu Gothic"/>
      <family val="3"/>
      <charset val="128"/>
      <scheme val="minor"/>
    </font>
    <font>
      <b/>
      <sz val="12"/>
      <color theme="1"/>
      <name val="Yu Gothic"/>
      <family val="3"/>
      <charset val="128"/>
      <scheme val="minor"/>
    </font>
    <font>
      <b/>
      <sz val="16"/>
      <color theme="1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DDEBF7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ashed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2">
    <xf numFmtId="0" fontId="0" fillId="0" borderId="0"/>
    <xf numFmtId="9" fontId="2" fillId="0" borderId="0" applyFont="0" applyFill="0" applyBorder="0" applyAlignment="0" applyProtection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58">
    <xf numFmtId="0" fontId="0" fillId="0" borderId="0" xfId="0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6" fontId="7" fillId="0" borderId="0" xfId="1" applyNumberFormat="1" applyFont="1" applyAlignment="1">
      <alignment horizontal="center" vertical="center"/>
    </xf>
    <xf numFmtId="176" fontId="0" fillId="0" borderId="0" xfId="1" applyNumberFormat="1" applyFont="1"/>
    <xf numFmtId="0" fontId="6" fillId="0" borderId="21" xfId="0" applyFont="1" applyBorder="1"/>
    <xf numFmtId="0" fontId="0" fillId="0" borderId="21" xfId="0" applyBorder="1"/>
    <xf numFmtId="0" fontId="0" fillId="0" borderId="0" xfId="0" applyBorder="1"/>
    <xf numFmtId="0" fontId="8" fillId="0" borderId="0" xfId="0" applyFont="1" applyAlignment="1">
      <alignment horizontal="center" vertical="center"/>
    </xf>
    <xf numFmtId="176" fontId="7" fillId="0" borderId="20" xfId="1" applyNumberFormat="1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176" fontId="0" fillId="0" borderId="21" xfId="1" applyNumberFormat="1" applyFont="1" applyBorder="1"/>
    <xf numFmtId="176" fontId="9" fillId="0" borderId="20" xfId="0" applyNumberFormat="1" applyFont="1" applyBorder="1" applyAlignment="1">
      <alignment horizontal="center" vertical="center"/>
    </xf>
    <xf numFmtId="0" fontId="9" fillId="0" borderId="0" xfId="0" applyFont="1"/>
    <xf numFmtId="0" fontId="9" fillId="0" borderId="20" xfId="0" applyFont="1" applyBorder="1" applyAlignment="1">
      <alignment horizontal="center" vertical="center"/>
    </xf>
    <xf numFmtId="0" fontId="10" fillId="0" borderId="0" xfId="0" applyFont="1"/>
    <xf numFmtId="0" fontId="6" fillId="0" borderId="0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38" fontId="0" fillId="0" borderId="0" xfId="2" applyFont="1" applyAlignment="1">
      <alignment horizontal="center"/>
    </xf>
    <xf numFmtId="176" fontId="0" fillId="0" borderId="0" xfId="3" applyNumberFormat="1" applyFont="1" applyAlignment="1">
      <alignment horizontal="center"/>
    </xf>
    <xf numFmtId="38" fontId="0" fillId="2" borderId="0" xfId="2" applyFont="1" applyFill="1" applyAlignment="1">
      <alignment horizontal="center" vertical="center"/>
    </xf>
    <xf numFmtId="176" fontId="0" fillId="2" borderId="0" xfId="3" applyNumberFormat="1" applyFont="1" applyFill="1" applyAlignment="1">
      <alignment horizontal="center" vertical="center"/>
    </xf>
    <xf numFmtId="176" fontId="0" fillId="0" borderId="0" xfId="3" applyNumberFormat="1" applyFont="1" applyAlignment="1">
      <alignment horizontal="center" vertical="center"/>
    </xf>
    <xf numFmtId="176" fontId="0" fillId="0" borderId="23" xfId="3" applyNumberFormat="1" applyFont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30" xfId="0" applyBorder="1" applyAlignment="1">
      <alignment horizontal="center" vertical="center"/>
    </xf>
    <xf numFmtId="176" fontId="0" fillId="0" borderId="31" xfId="3" applyNumberFormat="1" applyFont="1" applyBorder="1" applyAlignment="1">
      <alignment horizontal="center" vertical="center"/>
    </xf>
    <xf numFmtId="9" fontId="0" fillId="0" borderId="10" xfId="1" applyFont="1" applyBorder="1" applyAlignment="1">
      <alignment horizontal="center" vertical="center"/>
    </xf>
    <xf numFmtId="9" fontId="0" fillId="0" borderId="18" xfId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9" fontId="0" fillId="0" borderId="25" xfId="1" applyFont="1" applyBorder="1" applyAlignment="1">
      <alignment horizontal="center" vertical="center"/>
    </xf>
    <xf numFmtId="9" fontId="0" fillId="0" borderId="2" xfId="1" applyFont="1" applyBorder="1" applyAlignment="1">
      <alignment horizontal="center" vertical="center"/>
    </xf>
    <xf numFmtId="176" fontId="0" fillId="0" borderId="2" xfId="1" applyNumberFormat="1" applyFont="1" applyBorder="1" applyAlignment="1">
      <alignment horizontal="center" vertical="center"/>
    </xf>
    <xf numFmtId="176" fontId="0" fillId="0" borderId="0" xfId="1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38" fontId="0" fillId="0" borderId="0" xfId="2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176" fontId="0" fillId="3" borderId="10" xfId="1" applyNumberFormat="1" applyFont="1" applyFill="1" applyBorder="1" applyAlignment="1">
      <alignment horizontal="center" vertical="center"/>
    </xf>
    <xf numFmtId="176" fontId="0" fillId="2" borderId="10" xfId="1" applyNumberFormat="1" applyFont="1" applyFill="1" applyBorder="1" applyAlignment="1">
      <alignment horizontal="center" vertical="center"/>
    </xf>
    <xf numFmtId="176" fontId="0" fillId="0" borderId="10" xfId="1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76" fontId="0" fillId="0" borderId="10" xfId="1" applyNumberFormat="1" applyFont="1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176" fontId="0" fillId="2" borderId="33" xfId="1" applyNumberFormat="1" applyFont="1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9" fontId="0" fillId="0" borderId="33" xfId="1" applyFont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177" fontId="7" fillId="0" borderId="0" xfId="2" applyNumberFormat="1" applyFont="1" applyAlignment="1">
      <alignment horizontal="right" vertical="center"/>
    </xf>
    <xf numFmtId="0" fontId="0" fillId="2" borderId="1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76" fontId="0" fillId="0" borderId="23" xfId="3" applyNumberFormat="1" applyFont="1" applyFill="1" applyBorder="1" applyAlignment="1">
      <alignment horizontal="center" vertical="center"/>
    </xf>
    <xf numFmtId="9" fontId="0" fillId="0" borderId="10" xfId="1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left" vertical="center"/>
    </xf>
    <xf numFmtId="176" fontId="0" fillId="0" borderId="32" xfId="1" applyNumberFormat="1" applyFont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176" fontId="0" fillId="0" borderId="29" xfId="1" applyNumberFormat="1" applyFont="1" applyBorder="1" applyAlignment="1">
      <alignment horizontal="right" vertical="center"/>
    </xf>
    <xf numFmtId="0" fontId="0" fillId="0" borderId="35" xfId="0" applyFill="1" applyBorder="1" applyAlignment="1">
      <alignment horizontal="left" vertical="center"/>
    </xf>
    <xf numFmtId="0" fontId="0" fillId="0" borderId="36" xfId="0" applyFill="1" applyBorder="1" applyAlignment="1">
      <alignment horizontal="left" vertical="center"/>
    </xf>
    <xf numFmtId="0" fontId="0" fillId="0" borderId="39" xfId="0" applyBorder="1" applyAlignment="1">
      <alignment horizontal="center" vertical="center"/>
    </xf>
    <xf numFmtId="176" fontId="0" fillId="0" borderId="40" xfId="3" applyNumberFormat="1" applyFont="1" applyBorder="1" applyAlignment="1">
      <alignment horizontal="center" vertical="center"/>
    </xf>
    <xf numFmtId="176" fontId="0" fillId="0" borderId="22" xfId="1" applyNumberFormat="1" applyFont="1" applyBorder="1" applyAlignment="1">
      <alignment horizontal="right" vertical="center"/>
    </xf>
    <xf numFmtId="0" fontId="0" fillId="0" borderId="41" xfId="0" applyBorder="1" applyAlignment="1">
      <alignment horizontal="center" vertical="center"/>
    </xf>
    <xf numFmtId="176" fontId="0" fillId="0" borderId="13" xfId="1" applyNumberFormat="1" applyFont="1" applyBorder="1" applyAlignment="1">
      <alignment horizontal="right" vertical="center"/>
    </xf>
    <xf numFmtId="176" fontId="0" fillId="0" borderId="1" xfId="1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76" fontId="0" fillId="0" borderId="33" xfId="1" applyNumberFormat="1" applyFont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76" fontId="0" fillId="2" borderId="18" xfId="1" applyNumberFormat="1" applyFont="1" applyFill="1" applyBorder="1" applyAlignment="1">
      <alignment horizontal="center" vertical="center"/>
    </xf>
    <xf numFmtId="0" fontId="0" fillId="0" borderId="38" xfId="0" applyFill="1" applyBorder="1" applyAlignment="1">
      <alignment horizontal="left" vertical="center"/>
    </xf>
    <xf numFmtId="176" fontId="0" fillId="0" borderId="42" xfId="3" applyNumberFormat="1" applyFont="1" applyBorder="1" applyAlignment="1">
      <alignment horizontal="center" vertical="center"/>
    </xf>
    <xf numFmtId="176" fontId="0" fillId="0" borderId="0" xfId="1" applyNumberFormat="1" applyFont="1" applyBorder="1" applyAlignment="1">
      <alignment horizontal="right" vertical="center"/>
    </xf>
    <xf numFmtId="176" fontId="0" fillId="0" borderId="11" xfId="3" applyNumberFormat="1" applyFont="1" applyBorder="1" applyAlignment="1">
      <alignment horizontal="center" vertical="center"/>
    </xf>
    <xf numFmtId="176" fontId="0" fillId="0" borderId="27" xfId="3" applyNumberFormat="1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7" xfId="0" applyBorder="1" applyAlignment="1">
      <alignment horizontal="left" vertical="center"/>
    </xf>
    <xf numFmtId="176" fontId="0" fillId="0" borderId="19" xfId="1" applyNumberFormat="1" applyFont="1" applyBorder="1" applyAlignment="1">
      <alignment horizontal="right" vertical="center"/>
    </xf>
    <xf numFmtId="0" fontId="0" fillId="0" borderId="29" xfId="0" applyFill="1" applyBorder="1" applyAlignment="1">
      <alignment horizontal="right" vertical="center"/>
    </xf>
    <xf numFmtId="0" fontId="0" fillId="0" borderId="22" xfId="0" applyFill="1" applyBorder="1" applyAlignment="1">
      <alignment horizontal="right" vertical="center"/>
    </xf>
    <xf numFmtId="0" fontId="0" fillId="0" borderId="13" xfId="0" applyFill="1" applyBorder="1" applyAlignment="1">
      <alignment horizontal="right" vertical="center"/>
    </xf>
    <xf numFmtId="0" fontId="0" fillId="0" borderId="19" xfId="0" applyFill="1" applyBorder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28" xfId="0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6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6" fillId="0" borderId="21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5" borderId="29" xfId="0" applyFill="1" applyBorder="1" applyAlignment="1">
      <alignment horizontal="right" vertical="center"/>
    </xf>
    <xf numFmtId="0" fontId="0" fillId="5" borderId="37" xfId="0" applyFill="1" applyBorder="1" applyAlignment="1">
      <alignment horizontal="left" vertical="center"/>
    </xf>
    <xf numFmtId="0" fontId="0" fillId="5" borderId="35" xfId="0" applyFill="1" applyBorder="1" applyAlignment="1">
      <alignment horizontal="left" vertical="center"/>
    </xf>
    <xf numFmtId="0" fontId="0" fillId="6" borderId="29" xfId="0" applyFill="1" applyBorder="1" applyAlignment="1">
      <alignment horizontal="right" vertical="center"/>
    </xf>
    <xf numFmtId="0" fontId="0" fillId="6" borderId="35" xfId="0" applyFill="1" applyBorder="1" applyAlignment="1">
      <alignment horizontal="left" vertical="center"/>
    </xf>
  </cellXfs>
  <cellStyles count="12">
    <cellStyle name="パーセント" xfId="1" builtinId="5"/>
    <cellStyle name="パーセント 2" xfId="3" xr:uid="{00000000-0005-0000-0000-000001000000}"/>
    <cellStyle name="ハイパーリンク" xfId="4" builtinId="8" hidden="1"/>
    <cellStyle name="ハイパーリンク" xfId="6" builtinId="8" hidden="1"/>
    <cellStyle name="ハイパーリンク" xfId="8" builtinId="8" hidden="1"/>
    <cellStyle name="ハイパーリンク" xfId="10" builtinId="8" hidden="1"/>
    <cellStyle name="桁区切り" xfId="2" builtinId="6"/>
    <cellStyle name="標準" xfId="0" builtinId="0"/>
    <cellStyle name="表示済みのハイパーリンク" xfId="5" builtinId="9" hidden="1"/>
    <cellStyle name="表示済みのハイパーリンク" xfId="7" builtinId="9" hidden="1"/>
    <cellStyle name="表示済みのハイパーリンク" xfId="9" builtinId="9" hidden="1"/>
    <cellStyle name="表示済みのハイパーリンク" xfId="11" builtinId="9" hidden="1"/>
  </cellStyles>
  <dxfs count="9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個人的中表!$P$6:$P$9</c:f>
              <c:strCache>
                <c:ptCount val="4"/>
                <c:pt idx="0">
                  <c:v>3(火)</c:v>
                </c:pt>
                <c:pt idx="1">
                  <c:v>7(土)</c:v>
                </c:pt>
                <c:pt idx="2">
                  <c:v>8(日)</c:v>
                </c:pt>
                <c:pt idx="3">
                  <c:v>10(火)</c:v>
                </c:pt>
              </c:strCache>
            </c:strRef>
          </c:cat>
          <c:val>
            <c:numRef>
              <c:f>個人的中表!$Q$6:$Q$9</c:f>
              <c:numCache>
                <c:formatCode>0.0%</c:formatCode>
                <c:ptCount val="4"/>
                <c:pt idx="0">
                  <c:v>0.75</c:v>
                </c:pt>
                <c:pt idx="1">
                  <c:v>0.25</c:v>
                </c:pt>
                <c:pt idx="2">
                  <c:v>0.4375</c:v>
                </c:pt>
                <c:pt idx="3">
                  <c:v>0.9375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6-E94A-A143-B77894116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325807"/>
        <c:axId val="1697743583"/>
      </c:lineChart>
      <c:catAx>
        <c:axId val="1701325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97743583"/>
        <c:crosses val="autoZero"/>
        <c:auto val="1"/>
        <c:lblAlgn val="ctr"/>
        <c:lblOffset val="100"/>
        <c:noMultiLvlLbl val="0"/>
      </c:catAx>
      <c:valAx>
        <c:axId val="1697743583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701325807"/>
        <c:crosses val="autoZero"/>
        <c:crossBetween val="between"/>
        <c:majorUnit val="0.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63500</xdr:rowOff>
        </xdr:from>
        <xdr:to>
          <xdr:col>13</xdr:col>
          <xdr:colOff>317500</xdr:colOff>
          <xdr:row>1</xdr:row>
          <xdr:rowOff>177800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○×変換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0</xdr:row>
          <xdr:rowOff>101600</xdr:rowOff>
        </xdr:from>
        <xdr:to>
          <xdr:col>21</xdr:col>
          <xdr:colOff>241300</xdr:colOff>
          <xdr:row>1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Helvetica" charset="0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63500</xdr:rowOff>
        </xdr:from>
        <xdr:to>
          <xdr:col>13</xdr:col>
          <xdr:colOff>317500</xdr:colOff>
          <xdr:row>1</xdr:row>
          <xdr:rowOff>177800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F3062611-A87A-0547-A2E2-D4A613E11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○×変換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0</xdr:row>
          <xdr:rowOff>101600</xdr:rowOff>
        </xdr:from>
        <xdr:to>
          <xdr:col>21</xdr:col>
          <xdr:colOff>241300</xdr:colOff>
          <xdr:row>1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C1368ECB-0666-1942-A6F3-EF158E823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Helvetica" charset="0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63500</xdr:rowOff>
        </xdr:from>
        <xdr:to>
          <xdr:col>13</xdr:col>
          <xdr:colOff>317500</xdr:colOff>
          <xdr:row>1</xdr:row>
          <xdr:rowOff>177800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1BF4715E-E9EF-EF44-9838-6A2CA09246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○×変換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0</xdr:row>
          <xdr:rowOff>101600</xdr:rowOff>
        </xdr:from>
        <xdr:to>
          <xdr:col>21</xdr:col>
          <xdr:colOff>241300</xdr:colOff>
          <xdr:row>1</xdr:row>
          <xdr:rowOff>114300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DF276D23-598D-5C43-9444-B7AE543043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Helvetica" charset="0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63500</xdr:rowOff>
        </xdr:from>
        <xdr:to>
          <xdr:col>13</xdr:col>
          <xdr:colOff>317500</xdr:colOff>
          <xdr:row>1</xdr:row>
          <xdr:rowOff>177800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4D95D9AD-84D9-5842-BE53-60B89C3012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○×変換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0</xdr:row>
          <xdr:rowOff>101600</xdr:rowOff>
        </xdr:from>
        <xdr:to>
          <xdr:col>21</xdr:col>
          <xdr:colOff>241300</xdr:colOff>
          <xdr:row>1</xdr:row>
          <xdr:rowOff>114300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B44D85D7-63A7-6344-8C72-9A3D8CE6F7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Helvetica" charset="0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63500</xdr:rowOff>
        </xdr:from>
        <xdr:to>
          <xdr:col>13</xdr:col>
          <xdr:colOff>317500</xdr:colOff>
          <xdr:row>1</xdr:row>
          <xdr:rowOff>177800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23378552-A334-EB4B-8245-2D41FF178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○×変換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0</xdr:row>
          <xdr:rowOff>101600</xdr:rowOff>
        </xdr:from>
        <xdr:to>
          <xdr:col>21</xdr:col>
          <xdr:colOff>241300</xdr:colOff>
          <xdr:row>1</xdr:row>
          <xdr:rowOff>114300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E3119B39-1ED3-004A-A4A0-41AB67C99A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Helvetica" charset="0"/>
                </a:rPr>
                <a:t>clear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0</xdr:row>
      <xdr:rowOff>38100</xdr:rowOff>
    </xdr:from>
    <xdr:to>
      <xdr:col>6</xdr:col>
      <xdr:colOff>254000</xdr:colOff>
      <xdr:row>1</xdr:row>
      <xdr:rowOff>215900</xdr:rowOff>
    </xdr:to>
    <xdr:sp macro="" textlink="">
      <xdr:nvSpPr>
        <xdr:cNvPr id="24577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200-0000016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 fPrintsWithSheet="0"/>
  </xdr:twoCellAnchor>
  <xdr:twoCellAnchor>
    <xdr:from>
      <xdr:col>6</xdr:col>
      <xdr:colOff>317500</xdr:colOff>
      <xdr:row>0</xdr:row>
      <xdr:rowOff>152400</xdr:rowOff>
    </xdr:from>
    <xdr:to>
      <xdr:col>7</xdr:col>
      <xdr:colOff>635000</xdr:colOff>
      <xdr:row>1</xdr:row>
      <xdr:rowOff>266700</xdr:rowOff>
    </xdr:to>
    <xdr:sp macro="" textlink="">
      <xdr:nvSpPr>
        <xdr:cNvPr id="25603" name="Button 3" hidden="1">
          <a:extLst>
            <a:ext uri="{63B3BB69-23CF-44E3-9099-C40C66FF867C}">
              <a14:compatExt xmlns:a14="http://schemas.microsoft.com/office/drawing/2010/main" spid="_x0000_s25603"/>
            </a:ext>
            <a:ext uri="{FF2B5EF4-FFF2-40B4-BE49-F238E27FC236}">
              <a16:creationId xmlns:a16="http://schemas.microsoft.com/office/drawing/2014/main" id="{00000000-0008-0000-0200-000003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0</xdr:row>
          <xdr:rowOff>190500</xdr:rowOff>
        </xdr:from>
        <xdr:to>
          <xdr:col>9</xdr:col>
          <xdr:colOff>660400</xdr:colOff>
          <xdr:row>1</xdr:row>
          <xdr:rowOff>266700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152400</xdr:colOff>
      <xdr:row>0</xdr:row>
      <xdr:rowOff>38100</xdr:rowOff>
    </xdr:from>
    <xdr:to>
      <xdr:col>7</xdr:col>
      <xdr:colOff>254000</xdr:colOff>
      <xdr:row>1</xdr:row>
      <xdr:rowOff>215900</xdr:rowOff>
    </xdr:to>
    <xdr:sp macro="" textlink="">
      <xdr:nvSpPr>
        <xdr:cNvPr id="5" name="Button 1" hidden="1">
          <a:extLst>
            <a:ext uri="{63B3BB69-23CF-44E3-9099-C40C66FF867C}">
              <a14:compatExt xmlns:a14="http://schemas.microsoft.com/office/drawing/2010/main" spid="_x0000_s24577"/>
            </a:ex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4483100" y="38100"/>
          <a:ext cx="774700" cy="43180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50800</xdr:rowOff>
        </xdr:from>
        <xdr:to>
          <xdr:col>10</xdr:col>
          <xdr:colOff>165100</xdr:colOff>
          <xdr:row>1</xdr:row>
          <xdr:rowOff>457200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368300</xdr:colOff>
          <xdr:row>1</xdr:row>
          <xdr:rowOff>101600</xdr:rowOff>
        </xdr:from>
        <xdr:to>
          <xdr:col>12</xdr:col>
          <xdr:colOff>711200</xdr:colOff>
          <xdr:row>1</xdr:row>
          <xdr:rowOff>457200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 charset="-128"/>
                  <a:ea typeface="Yu Gothic" charset="-128"/>
                </a:rPr>
                <a:t>グラフ再表示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0</xdr:rowOff>
    </xdr:from>
    <xdr:to>
      <xdr:col>10</xdr:col>
      <xdr:colOff>88900</xdr:colOff>
      <xdr:row>17</xdr:row>
      <xdr:rowOff>228600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496EF939-5CF2-0549-8A93-0E4FB2365A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弓道部メンバー表" connectionId="1" xr16:uid="{00000000-0016-0000-0100-000000000000}" autoFormatId="2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弓道部メンバー表" connectionId="1" xr16:uid="{DE19CCE7-30EF-944E-AA55-31393973B77B}" autoFormatId="2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弓道部メンバー表" connectionId="1" xr16:uid="{CA8F38C9-F78E-5F4F-9BF9-E3F6C1570888}" autoFormatId="2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弓道部メンバー表" connectionId="1" xr16:uid="{90A7E791-7F9B-214B-8989-D9E2E4318911}" autoFormatId="2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弓道部メンバー表" connectionId="1" xr16:uid="{90AE0654-2847-9C48-AC22-6D6422620990}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queryTable" Target="../queryTables/query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theme="4" tint="-0.249977111117893"/>
  </sheetPr>
  <dimension ref="A2:O52"/>
  <sheetViews>
    <sheetView tabSelected="1" showRuler="0" topLeftCell="A2" zoomScale="120" zoomScaleNormal="120" zoomScalePageLayoutView="90" workbookViewId="0">
      <pane ySplit="1" topLeftCell="A3" activePane="bottomLeft" state="frozenSplit"/>
      <selection activeCell="A2" sqref="A2"/>
      <selection pane="bottomLeft" activeCell="C6" sqref="C6"/>
    </sheetView>
  </sheetViews>
  <sheetFormatPr baseColWidth="10" defaultColWidth="12.7109375" defaultRowHeight="20" x14ac:dyDescent="0.3"/>
  <cols>
    <col min="1" max="1" width="12.7109375" style="6"/>
    <col min="2" max="2" width="13.5703125" style="6" customWidth="1"/>
    <col min="3" max="3" width="5.140625" customWidth="1"/>
    <col min="4" max="4" width="12.7109375" style="6"/>
    <col min="5" max="5" width="12.7109375" style="6" customWidth="1"/>
    <col min="6" max="7" width="12.7109375" style="6"/>
    <col min="8" max="11" width="3.7109375" customWidth="1"/>
    <col min="12" max="14" width="3.7109375" style="1" customWidth="1"/>
    <col min="15" max="15" width="3.7109375" customWidth="1"/>
  </cols>
  <sheetData>
    <row r="2" spans="1:15" s="7" customFormat="1" ht="21" thickBot="1" x14ac:dyDescent="0.35">
      <c r="B2" s="7" t="s">
        <v>34</v>
      </c>
      <c r="D2" s="7" t="s">
        <v>35</v>
      </c>
      <c r="E2" s="7" t="s">
        <v>36</v>
      </c>
      <c r="F2" s="7" t="s">
        <v>37</v>
      </c>
      <c r="G2" s="7" t="str">
        <f>"出席数" &amp; "(" &amp; 集計!AB3 &amp; ")"</f>
        <v>出席数(4)</v>
      </c>
      <c r="L2" s="57"/>
      <c r="M2" s="57"/>
      <c r="N2" s="57"/>
    </row>
    <row r="4" spans="1:15" x14ac:dyDescent="0.3">
      <c r="A4" s="44" t="s">
        <v>68</v>
      </c>
      <c r="B4" s="152" t="s">
        <v>131</v>
      </c>
      <c r="D4" s="6">
        <f>集計!V4</f>
        <v>7</v>
      </c>
      <c r="E4" s="6">
        <f>集計!X4</f>
        <v>3</v>
      </c>
      <c r="F4" s="6">
        <f>集計!Y4</f>
        <v>6</v>
      </c>
      <c r="G4" s="6">
        <f>集計!Z4</f>
        <v>4</v>
      </c>
      <c r="L4" s="1" t="s">
        <v>59</v>
      </c>
      <c r="M4" s="1">
        <v>1</v>
      </c>
      <c r="N4" s="1">
        <v>1</v>
      </c>
      <c r="O4" s="6" t="s">
        <v>57</v>
      </c>
    </row>
    <row r="5" spans="1:15" x14ac:dyDescent="0.3">
      <c r="B5" s="152" t="s">
        <v>74</v>
      </c>
      <c r="D5" s="6">
        <f>集計!V5</f>
        <v>6</v>
      </c>
      <c r="E5" s="6">
        <f>集計!X5</f>
        <v>8</v>
      </c>
      <c r="F5" s="6">
        <f>集計!Y5</f>
        <v>4</v>
      </c>
      <c r="G5" s="6">
        <f>集計!Z5</f>
        <v>4</v>
      </c>
      <c r="L5" s="1" t="s">
        <v>60</v>
      </c>
      <c r="M5" s="1">
        <v>2</v>
      </c>
      <c r="N5" s="1">
        <v>2</v>
      </c>
      <c r="O5" s="6" t="s">
        <v>58</v>
      </c>
    </row>
    <row r="6" spans="1:15" x14ac:dyDescent="0.3">
      <c r="B6" s="152" t="s">
        <v>75</v>
      </c>
      <c r="D6" s="6" t="str">
        <f>集計!V6</f>
        <v xml:space="preserve"> </v>
      </c>
      <c r="E6" s="6">
        <f>集計!X6</f>
        <v>0</v>
      </c>
      <c r="F6" s="6">
        <f>集計!Y6</f>
        <v>0</v>
      </c>
      <c r="G6" s="6">
        <f>集計!Z6</f>
        <v>0</v>
      </c>
      <c r="L6" s="1" t="s">
        <v>61</v>
      </c>
      <c r="M6" s="1">
        <v>3</v>
      </c>
      <c r="N6" s="1">
        <v>3</v>
      </c>
    </row>
    <row r="7" spans="1:15" x14ac:dyDescent="0.3">
      <c r="B7" s="152" t="s">
        <v>77</v>
      </c>
      <c r="D7" s="6">
        <f>集計!V7</f>
        <v>3</v>
      </c>
      <c r="E7" s="6">
        <f>集計!X7</f>
        <v>1</v>
      </c>
      <c r="F7" s="6">
        <f>集計!Y7</f>
        <v>2</v>
      </c>
      <c r="G7" s="6">
        <f>集計!Z7</f>
        <v>1</v>
      </c>
      <c r="L7" s="1" t="s">
        <v>62</v>
      </c>
      <c r="M7" s="1">
        <v>4</v>
      </c>
      <c r="N7" s="1">
        <v>4</v>
      </c>
    </row>
    <row r="8" spans="1:15" x14ac:dyDescent="0.3">
      <c r="B8" s="152" t="s">
        <v>78</v>
      </c>
      <c r="D8" s="6" t="str">
        <f>集計!V8</f>
        <v xml:space="preserve"> </v>
      </c>
      <c r="E8" s="6">
        <f>集計!X8</f>
        <v>0</v>
      </c>
      <c r="F8" s="6">
        <f>集計!Y8</f>
        <v>0</v>
      </c>
      <c r="G8" s="6">
        <f>集計!Z8</f>
        <v>0</v>
      </c>
      <c r="L8" s="1" t="s">
        <v>63</v>
      </c>
      <c r="M8" s="1">
        <v>5</v>
      </c>
      <c r="N8" s="1">
        <v>5</v>
      </c>
    </row>
    <row r="9" spans="1:15" x14ac:dyDescent="0.3">
      <c r="B9" s="152" t="s">
        <v>79</v>
      </c>
      <c r="D9" s="6" t="str">
        <f>集計!V9</f>
        <v xml:space="preserve"> </v>
      </c>
      <c r="E9" s="6">
        <f>集計!X9</f>
        <v>0</v>
      </c>
      <c r="F9" s="6">
        <f>集計!Y9</f>
        <v>0</v>
      </c>
      <c r="G9" s="6">
        <f>集計!Z9</f>
        <v>0</v>
      </c>
      <c r="L9" s="1" t="s">
        <v>64</v>
      </c>
      <c r="M9" s="1">
        <v>6</v>
      </c>
      <c r="N9" s="1">
        <v>6</v>
      </c>
    </row>
    <row r="10" spans="1:15" x14ac:dyDescent="0.3">
      <c r="B10" s="152" t="s">
        <v>80</v>
      </c>
      <c r="D10" s="6" t="str">
        <f>集計!V10</f>
        <v xml:space="preserve"> </v>
      </c>
      <c r="E10" s="6">
        <f>集計!X10</f>
        <v>0</v>
      </c>
      <c r="F10" s="6">
        <f>集計!Y10</f>
        <v>0</v>
      </c>
      <c r="G10" s="6">
        <f>集計!Z10</f>
        <v>0</v>
      </c>
      <c r="L10" s="1" t="s">
        <v>65</v>
      </c>
      <c r="M10" s="1">
        <v>7</v>
      </c>
      <c r="N10" s="1">
        <v>7</v>
      </c>
    </row>
    <row r="11" spans="1:15" x14ac:dyDescent="0.3">
      <c r="B11" s="152" t="s">
        <v>82</v>
      </c>
      <c r="D11" s="6">
        <f>集計!V11</f>
        <v>3</v>
      </c>
      <c r="E11" s="6">
        <f>集計!X11</f>
        <v>3</v>
      </c>
      <c r="F11" s="6">
        <f>集計!Y11</f>
        <v>0</v>
      </c>
      <c r="G11" s="6">
        <f>集計!Z11</f>
        <v>3</v>
      </c>
      <c r="M11" s="1">
        <v>8</v>
      </c>
      <c r="N11" s="1">
        <v>8</v>
      </c>
    </row>
    <row r="12" spans="1:15" x14ac:dyDescent="0.3">
      <c r="B12" s="152" t="s">
        <v>84</v>
      </c>
      <c r="D12" s="6">
        <f>集計!V12</f>
        <v>8</v>
      </c>
      <c r="E12" s="6">
        <f>集計!X12</f>
        <v>0</v>
      </c>
      <c r="F12" s="6">
        <f>集計!Y12</f>
        <v>0</v>
      </c>
      <c r="G12" s="6">
        <f>集計!Z12</f>
        <v>4</v>
      </c>
      <c r="M12" s="1">
        <v>9</v>
      </c>
      <c r="N12" s="1">
        <v>9</v>
      </c>
    </row>
    <row r="13" spans="1:15" x14ac:dyDescent="0.3">
      <c r="B13" s="152" t="s">
        <v>85</v>
      </c>
      <c r="D13" s="6" t="str">
        <f>集計!V13</f>
        <v xml:space="preserve"> </v>
      </c>
      <c r="E13" s="6">
        <f>集計!X13</f>
        <v>0</v>
      </c>
      <c r="F13" s="6">
        <f>集計!Y13</f>
        <v>0</v>
      </c>
      <c r="G13" s="6">
        <f>集計!Z13</f>
        <v>0</v>
      </c>
      <c r="M13" s="1">
        <v>10</v>
      </c>
      <c r="N13" s="1">
        <v>10</v>
      </c>
    </row>
    <row r="14" spans="1:15" x14ac:dyDescent="0.3">
      <c r="B14" s="152" t="s">
        <v>86</v>
      </c>
      <c r="D14" s="6" t="str">
        <f>集計!V14</f>
        <v xml:space="preserve"> </v>
      </c>
      <c r="E14" s="6">
        <f>集計!X14</f>
        <v>0</v>
      </c>
      <c r="F14" s="6">
        <f>集計!Y14</f>
        <v>0</v>
      </c>
      <c r="G14" s="6">
        <f>集計!Z14</f>
        <v>0</v>
      </c>
      <c r="M14" s="1">
        <v>11</v>
      </c>
      <c r="N14" s="1">
        <v>11</v>
      </c>
    </row>
    <row r="15" spans="1:15" x14ac:dyDescent="0.3">
      <c r="B15" s="152" t="s">
        <v>87</v>
      </c>
      <c r="D15" s="6" t="str">
        <f>集計!V15</f>
        <v xml:space="preserve"> </v>
      </c>
      <c r="E15" s="6">
        <f>集計!X15</f>
        <v>0</v>
      </c>
      <c r="F15" s="6">
        <f>集計!Y15</f>
        <v>0</v>
      </c>
      <c r="G15" s="6">
        <f>集計!Z15</f>
        <v>0</v>
      </c>
      <c r="M15" s="1">
        <v>12</v>
      </c>
      <c r="N15" s="1">
        <v>12</v>
      </c>
    </row>
    <row r="16" spans="1:15" x14ac:dyDescent="0.3">
      <c r="B16" s="152" t="s">
        <v>88</v>
      </c>
      <c r="D16" s="6" t="str">
        <f>集計!V16</f>
        <v xml:space="preserve"> </v>
      </c>
      <c r="E16" s="6">
        <f>集計!X16</f>
        <v>0</v>
      </c>
      <c r="F16" s="6">
        <f>集計!Y16</f>
        <v>0</v>
      </c>
      <c r="G16" s="6">
        <f>集計!Z16</f>
        <v>0</v>
      </c>
      <c r="N16" s="1">
        <v>13</v>
      </c>
    </row>
    <row r="17" spans="1:14" x14ac:dyDescent="0.3">
      <c r="B17" s="152" t="s">
        <v>89</v>
      </c>
      <c r="D17" s="6" t="str">
        <f>集計!V17</f>
        <v xml:space="preserve"> </v>
      </c>
      <c r="E17" s="6">
        <f>集計!X17</f>
        <v>0</v>
      </c>
      <c r="F17" s="6">
        <f>集計!Y17</f>
        <v>0</v>
      </c>
      <c r="G17" s="6">
        <f>集計!Z17</f>
        <v>0</v>
      </c>
      <c r="N17" s="1">
        <v>14</v>
      </c>
    </row>
    <row r="18" spans="1:14" x14ac:dyDescent="0.3">
      <c r="B18" s="152" t="s">
        <v>91</v>
      </c>
      <c r="D18" s="6">
        <f>集計!V18</f>
        <v>1</v>
      </c>
      <c r="E18" s="6">
        <f>集計!X18</f>
        <v>0</v>
      </c>
      <c r="F18" s="6">
        <f>集計!Y18</f>
        <v>12</v>
      </c>
      <c r="G18" s="6">
        <f>集計!Z18</f>
        <v>4</v>
      </c>
      <c r="N18" s="1">
        <v>15</v>
      </c>
    </row>
    <row r="19" spans="1:14" x14ac:dyDescent="0.3">
      <c r="B19" s="152" t="s">
        <v>92</v>
      </c>
      <c r="D19" s="6" t="str">
        <f>集計!V19</f>
        <v xml:space="preserve"> </v>
      </c>
      <c r="E19" s="6">
        <f>集計!X19</f>
        <v>0</v>
      </c>
      <c r="F19" s="6">
        <f>集計!Y19</f>
        <v>0</v>
      </c>
      <c r="G19" s="6">
        <f>集計!Z19</f>
        <v>0</v>
      </c>
      <c r="N19" s="1">
        <v>16</v>
      </c>
    </row>
    <row r="20" spans="1:14" x14ac:dyDescent="0.3">
      <c r="B20" s="152" t="s">
        <v>93</v>
      </c>
      <c r="N20" s="1">
        <v>17</v>
      </c>
    </row>
    <row r="21" spans="1:14" x14ac:dyDescent="0.3">
      <c r="A21" s="6" t="s">
        <v>71</v>
      </c>
      <c r="B21" s="152" t="s">
        <v>94</v>
      </c>
      <c r="D21" s="6" t="str">
        <f>集計!V21</f>
        <v xml:space="preserve"> </v>
      </c>
      <c r="E21" s="6">
        <f>集計!X21</f>
        <v>0</v>
      </c>
      <c r="F21" s="6">
        <f>集計!Y21</f>
        <v>0</v>
      </c>
      <c r="G21" s="6">
        <f>集計!Z21</f>
        <v>0</v>
      </c>
      <c r="N21" s="1">
        <v>18</v>
      </c>
    </row>
    <row r="22" spans="1:14" x14ac:dyDescent="0.3">
      <c r="B22" s="152" t="s">
        <v>95</v>
      </c>
      <c r="D22" s="6" t="str">
        <f>集計!V22</f>
        <v xml:space="preserve"> </v>
      </c>
      <c r="E22" s="6">
        <f>集計!X22</f>
        <v>0</v>
      </c>
      <c r="F22" s="6">
        <f>集計!Y22</f>
        <v>0</v>
      </c>
      <c r="G22" s="6">
        <f>集計!Z22</f>
        <v>0</v>
      </c>
      <c r="N22" s="1">
        <v>19</v>
      </c>
    </row>
    <row r="23" spans="1:14" x14ac:dyDescent="0.3">
      <c r="B23" s="152" t="s">
        <v>96</v>
      </c>
      <c r="D23" s="6" t="str">
        <f>集計!V23</f>
        <v xml:space="preserve"> </v>
      </c>
      <c r="E23" s="6">
        <f>集計!X23</f>
        <v>0</v>
      </c>
      <c r="F23" s="6">
        <f>集計!Y23</f>
        <v>0</v>
      </c>
      <c r="G23" s="6">
        <f>集計!Z23</f>
        <v>0</v>
      </c>
      <c r="N23" s="1">
        <v>20</v>
      </c>
    </row>
    <row r="24" spans="1:14" x14ac:dyDescent="0.3">
      <c r="B24" s="152" t="s">
        <v>97</v>
      </c>
      <c r="D24" s="6" t="str">
        <f>集計!V24</f>
        <v xml:space="preserve"> </v>
      </c>
      <c r="E24" s="6">
        <f>集計!X24</f>
        <v>0</v>
      </c>
      <c r="F24" s="6">
        <f>集計!Y24</f>
        <v>0</v>
      </c>
      <c r="G24" s="6">
        <f>集計!Z24</f>
        <v>0</v>
      </c>
      <c r="N24" s="1">
        <v>21</v>
      </c>
    </row>
    <row r="25" spans="1:14" x14ac:dyDescent="0.3">
      <c r="B25" s="152" t="s">
        <v>98</v>
      </c>
      <c r="D25" s="6" t="str">
        <f>集計!V25</f>
        <v xml:space="preserve"> </v>
      </c>
      <c r="E25" s="6">
        <f>集計!X25</f>
        <v>0</v>
      </c>
      <c r="F25" s="6">
        <f>集計!Y25</f>
        <v>0</v>
      </c>
      <c r="G25" s="6">
        <f>集計!Z25</f>
        <v>0</v>
      </c>
      <c r="N25" s="1">
        <v>22</v>
      </c>
    </row>
    <row r="26" spans="1:14" x14ac:dyDescent="0.3">
      <c r="B26" s="152" t="s">
        <v>99</v>
      </c>
      <c r="D26" s="6" t="str">
        <f>集計!V26</f>
        <v xml:space="preserve"> </v>
      </c>
      <c r="E26" s="6">
        <f>集計!X26</f>
        <v>0</v>
      </c>
      <c r="F26" s="6">
        <f>集計!Y26</f>
        <v>0</v>
      </c>
      <c r="G26" s="6">
        <f>集計!Z26</f>
        <v>0</v>
      </c>
      <c r="N26" s="1">
        <v>23</v>
      </c>
    </row>
    <row r="27" spans="1:14" x14ac:dyDescent="0.3">
      <c r="B27" s="152" t="s">
        <v>100</v>
      </c>
      <c r="D27" s="6" t="str">
        <f>集計!V27</f>
        <v xml:space="preserve"> </v>
      </c>
      <c r="E27" s="6">
        <f>集計!X27</f>
        <v>0</v>
      </c>
      <c r="F27" s="6">
        <f>集計!Y27</f>
        <v>0</v>
      </c>
      <c r="G27" s="6">
        <f>集計!Z27</f>
        <v>0</v>
      </c>
      <c r="N27" s="1">
        <v>24</v>
      </c>
    </row>
    <row r="28" spans="1:14" x14ac:dyDescent="0.3">
      <c r="B28" s="152" t="s">
        <v>101</v>
      </c>
      <c r="D28" s="6" t="str">
        <f>集計!V28</f>
        <v xml:space="preserve"> </v>
      </c>
      <c r="E28" s="6">
        <f>集計!X28</f>
        <v>0</v>
      </c>
      <c r="F28" s="6">
        <f>集計!Y28</f>
        <v>0</v>
      </c>
      <c r="G28" s="6">
        <f>集計!Z28</f>
        <v>0</v>
      </c>
      <c r="N28" s="1">
        <v>25</v>
      </c>
    </row>
    <row r="29" spans="1:14" x14ac:dyDescent="0.3">
      <c r="B29" s="152" t="s">
        <v>103</v>
      </c>
      <c r="D29" s="6" t="str">
        <f>集計!V29</f>
        <v xml:space="preserve"> </v>
      </c>
      <c r="E29" s="6">
        <f>集計!X29</f>
        <v>0</v>
      </c>
      <c r="F29" s="6">
        <f>集計!Y29</f>
        <v>0</v>
      </c>
      <c r="G29" s="6">
        <f>集計!Z29</f>
        <v>3</v>
      </c>
      <c r="N29" s="1">
        <v>26</v>
      </c>
    </row>
    <row r="30" spans="1:14" x14ac:dyDescent="0.3">
      <c r="B30" s="152" t="s">
        <v>104</v>
      </c>
      <c r="D30" s="6" t="str">
        <f>集計!V30</f>
        <v xml:space="preserve"> </v>
      </c>
      <c r="E30" s="6">
        <f>集計!X30</f>
        <v>0</v>
      </c>
      <c r="F30" s="6">
        <f>集計!Y30</f>
        <v>0</v>
      </c>
      <c r="G30" s="6">
        <f>集計!Z30</f>
        <v>0</v>
      </c>
      <c r="N30" s="1">
        <v>27</v>
      </c>
    </row>
    <row r="31" spans="1:14" x14ac:dyDescent="0.3">
      <c r="B31" s="152" t="s">
        <v>105</v>
      </c>
      <c r="D31" s="6" t="str">
        <f>集計!V31</f>
        <v xml:space="preserve"> </v>
      </c>
      <c r="E31" s="6">
        <f>集計!X31</f>
        <v>0</v>
      </c>
      <c r="F31" s="6">
        <f>集計!Y31</f>
        <v>0</v>
      </c>
      <c r="G31" s="6">
        <f>集計!Z31</f>
        <v>0</v>
      </c>
      <c r="N31" s="1">
        <v>28</v>
      </c>
    </row>
    <row r="32" spans="1:14" x14ac:dyDescent="0.3">
      <c r="B32" s="152" t="s">
        <v>106</v>
      </c>
      <c r="D32" s="6" t="str">
        <f>集計!V32</f>
        <v xml:space="preserve"> </v>
      </c>
      <c r="E32" s="6">
        <f>集計!X32</f>
        <v>0</v>
      </c>
      <c r="F32" s="6">
        <f>集計!Y32</f>
        <v>0</v>
      </c>
      <c r="G32" s="6">
        <f>集計!Z32</f>
        <v>0</v>
      </c>
      <c r="N32" s="1">
        <v>29</v>
      </c>
    </row>
    <row r="33" spans="1:14" x14ac:dyDescent="0.3">
      <c r="B33" s="152" t="s">
        <v>107</v>
      </c>
      <c r="D33" s="6" t="str">
        <f>集計!V33</f>
        <v xml:space="preserve"> </v>
      </c>
      <c r="E33" s="6">
        <f>集計!X33</f>
        <v>0</v>
      </c>
      <c r="F33" s="6">
        <f>集計!Y33</f>
        <v>0</v>
      </c>
      <c r="G33" s="6">
        <f>集計!Z33</f>
        <v>0</v>
      </c>
      <c r="N33" s="1">
        <v>31</v>
      </c>
    </row>
    <row r="34" spans="1:14" x14ac:dyDescent="0.3">
      <c r="B34" s="152" t="s">
        <v>108</v>
      </c>
      <c r="D34" s="6" t="str">
        <f>集計!V34</f>
        <v xml:space="preserve"> </v>
      </c>
      <c r="E34" s="6">
        <f>集計!X34</f>
        <v>0</v>
      </c>
      <c r="F34" s="6">
        <f>集計!Y34</f>
        <v>0</v>
      </c>
      <c r="G34" s="6">
        <f>集計!Z34</f>
        <v>0</v>
      </c>
    </row>
    <row r="35" spans="1:14" x14ac:dyDescent="0.3">
      <c r="B35" s="152" t="s">
        <v>110</v>
      </c>
      <c r="D35" s="6">
        <f>集計!V35</f>
        <v>3</v>
      </c>
      <c r="E35" s="6">
        <f>集計!X35</f>
        <v>3</v>
      </c>
      <c r="F35" s="6">
        <f>集計!Y35</f>
        <v>0</v>
      </c>
      <c r="G35" s="6">
        <f>集計!Z35</f>
        <v>3</v>
      </c>
    </row>
    <row r="36" spans="1:14" x14ac:dyDescent="0.3">
      <c r="B36" s="152" t="s">
        <v>111</v>
      </c>
      <c r="D36" s="6" t="str">
        <f>集計!V36</f>
        <v xml:space="preserve"> </v>
      </c>
      <c r="E36" s="6">
        <f>集計!X36</f>
        <v>0</v>
      </c>
      <c r="F36" s="6">
        <f>集計!Y36</f>
        <v>0</v>
      </c>
      <c r="G36" s="6">
        <f>集計!Z36</f>
        <v>0</v>
      </c>
    </row>
    <row r="37" spans="1:14" x14ac:dyDescent="0.3">
      <c r="B37" s="152" t="s">
        <v>112</v>
      </c>
      <c r="D37" s="6" t="str">
        <f>集計!V37</f>
        <v xml:space="preserve"> </v>
      </c>
      <c r="E37" s="6">
        <f>集計!X37</f>
        <v>0</v>
      </c>
      <c r="F37" s="6">
        <f>集計!Y37</f>
        <v>0</v>
      </c>
      <c r="G37" s="6">
        <f>集計!Z37</f>
        <v>0</v>
      </c>
    </row>
    <row r="38" spans="1:14" x14ac:dyDescent="0.3">
      <c r="B38" s="152" t="s">
        <v>113</v>
      </c>
    </row>
    <row r="39" spans="1:14" x14ac:dyDescent="0.3">
      <c r="A39" s="6" t="s">
        <v>70</v>
      </c>
      <c r="B39" s="152" t="s">
        <v>114</v>
      </c>
      <c r="D39" s="6" t="str">
        <f>集計!V39</f>
        <v xml:space="preserve"> </v>
      </c>
      <c r="E39" s="6">
        <f>集計!X39</f>
        <v>0</v>
      </c>
      <c r="F39" s="6">
        <f>集計!Y39</f>
        <v>0</v>
      </c>
      <c r="G39" s="6">
        <f>集計!Z39</f>
        <v>0</v>
      </c>
    </row>
    <row r="40" spans="1:14" x14ac:dyDescent="0.3">
      <c r="B40" s="152" t="s">
        <v>115</v>
      </c>
      <c r="D40" s="6" t="str">
        <f>集計!V40</f>
        <v xml:space="preserve"> </v>
      </c>
      <c r="E40" s="6">
        <f>集計!X40</f>
        <v>0</v>
      </c>
      <c r="F40" s="6">
        <f>集計!Y40</f>
        <v>0</v>
      </c>
      <c r="G40" s="6">
        <f>集計!Z40</f>
        <v>0</v>
      </c>
    </row>
    <row r="41" spans="1:14" x14ac:dyDescent="0.3">
      <c r="B41" s="152" t="s">
        <v>116</v>
      </c>
      <c r="D41" s="6" t="str">
        <f>集計!V41</f>
        <v xml:space="preserve"> </v>
      </c>
      <c r="E41" s="6">
        <f>集計!X41</f>
        <v>0</v>
      </c>
      <c r="F41" s="6">
        <f>集計!Y41</f>
        <v>0</v>
      </c>
      <c r="G41" s="6">
        <f>集計!Z41</f>
        <v>0</v>
      </c>
    </row>
    <row r="42" spans="1:14" x14ac:dyDescent="0.3">
      <c r="B42" s="152" t="s">
        <v>117</v>
      </c>
      <c r="D42" s="6" t="str">
        <f>集計!V42</f>
        <v xml:space="preserve"> </v>
      </c>
      <c r="E42" s="6">
        <f>集計!X42</f>
        <v>0</v>
      </c>
      <c r="F42" s="6">
        <f>集計!Y42</f>
        <v>0</v>
      </c>
      <c r="G42" s="6">
        <f>集計!Z42</f>
        <v>0</v>
      </c>
    </row>
    <row r="43" spans="1:14" x14ac:dyDescent="0.3">
      <c r="B43" s="152" t="s">
        <v>118</v>
      </c>
      <c r="D43" s="6" t="str">
        <f>集計!V43</f>
        <v xml:space="preserve"> </v>
      </c>
      <c r="E43" s="6">
        <f>集計!X43</f>
        <v>0</v>
      </c>
      <c r="F43" s="6">
        <f>集計!Y43</f>
        <v>0</v>
      </c>
      <c r="G43" s="6">
        <f>集計!Z43</f>
        <v>0</v>
      </c>
    </row>
    <row r="44" spans="1:14" x14ac:dyDescent="0.3">
      <c r="B44" s="152" t="s">
        <v>119</v>
      </c>
      <c r="D44" s="6" t="str">
        <f>集計!V44</f>
        <v xml:space="preserve"> </v>
      </c>
      <c r="E44" s="6">
        <f>集計!X44</f>
        <v>0</v>
      </c>
      <c r="F44" s="6">
        <f>集計!Y44</f>
        <v>0</v>
      </c>
      <c r="G44" s="6">
        <f>集計!Z44</f>
        <v>0</v>
      </c>
    </row>
    <row r="45" spans="1:14" x14ac:dyDescent="0.3">
      <c r="B45" s="152" t="s">
        <v>120</v>
      </c>
      <c r="D45" s="6" t="str">
        <f>集計!V45</f>
        <v xml:space="preserve"> </v>
      </c>
      <c r="E45" s="6">
        <f>集計!X45</f>
        <v>0</v>
      </c>
      <c r="F45" s="6">
        <f>集計!Y45</f>
        <v>0</v>
      </c>
      <c r="G45" s="6">
        <f>集計!Z45</f>
        <v>0</v>
      </c>
    </row>
    <row r="46" spans="1:14" x14ac:dyDescent="0.3">
      <c r="B46" s="152" t="s">
        <v>121</v>
      </c>
      <c r="D46" s="6" t="str">
        <f>集計!V46</f>
        <v xml:space="preserve"> </v>
      </c>
      <c r="E46" s="6">
        <f>集計!X46</f>
        <v>0</v>
      </c>
      <c r="F46" s="6">
        <f>集計!Y46</f>
        <v>0</v>
      </c>
      <c r="G46" s="6">
        <f>集計!Z46</f>
        <v>0</v>
      </c>
    </row>
    <row r="47" spans="1:14" x14ac:dyDescent="0.3">
      <c r="B47" s="152" t="s">
        <v>122</v>
      </c>
      <c r="D47" s="6" t="str">
        <f>集計!V47</f>
        <v xml:space="preserve"> </v>
      </c>
      <c r="E47" s="6">
        <f>集計!X47</f>
        <v>0</v>
      </c>
      <c r="F47" s="6">
        <f>集計!Y47</f>
        <v>0</v>
      </c>
      <c r="G47" s="6">
        <f>集計!Z47</f>
        <v>0</v>
      </c>
    </row>
    <row r="48" spans="1:14" x14ac:dyDescent="0.3">
      <c r="B48" s="152" t="s">
        <v>124</v>
      </c>
      <c r="D48" s="6">
        <f>集計!V48</f>
        <v>1</v>
      </c>
      <c r="E48" s="6">
        <f>集計!X48</f>
        <v>0</v>
      </c>
      <c r="F48" s="6">
        <f>集計!Y48</f>
        <v>4</v>
      </c>
      <c r="G48" s="6">
        <f>集計!Z48</f>
        <v>4</v>
      </c>
    </row>
    <row r="49" spans="1:7" x14ac:dyDescent="0.3">
      <c r="B49" s="152" t="s">
        <v>125</v>
      </c>
      <c r="D49" s="6" t="str">
        <f>集計!V49</f>
        <v xml:space="preserve"> </v>
      </c>
      <c r="E49" s="6">
        <f>集計!X49</f>
        <v>0</v>
      </c>
      <c r="F49" s="6">
        <f>集計!Y49</f>
        <v>0</v>
      </c>
      <c r="G49" s="6">
        <f>集計!Z49</f>
        <v>0</v>
      </c>
    </row>
    <row r="50" spans="1:7" x14ac:dyDescent="0.3">
      <c r="B50" s="152" t="s">
        <v>126</v>
      </c>
    </row>
    <row r="51" spans="1:7" x14ac:dyDescent="0.3">
      <c r="A51" s="6" t="s">
        <v>69</v>
      </c>
      <c r="B51" s="152" t="s">
        <v>127</v>
      </c>
      <c r="D51" s="6" t="str">
        <f>集計!V51</f>
        <v xml:space="preserve"> </v>
      </c>
      <c r="E51" s="6">
        <f>集計!X51</f>
        <v>0</v>
      </c>
      <c r="F51" s="6">
        <f>集計!Y51</f>
        <v>0</v>
      </c>
      <c r="G51" s="6">
        <f>集計!Z51</f>
        <v>0</v>
      </c>
    </row>
    <row r="52" spans="1:7" x14ac:dyDescent="0.3">
      <c r="B52" s="152" t="s">
        <v>128</v>
      </c>
      <c r="D52" s="6" t="str">
        <f>集計!V52</f>
        <v xml:space="preserve"> </v>
      </c>
      <c r="E52" s="6">
        <f>集計!X52</f>
        <v>0</v>
      </c>
      <c r="F52" s="6">
        <f>集計!Y52</f>
        <v>0</v>
      </c>
      <c r="G52" s="6">
        <f>集計!Z52</f>
        <v>0</v>
      </c>
    </row>
  </sheetData>
  <sheetProtection selectLockedCells="1" selectUnlockedCells="1"/>
  <dataConsolidate/>
  <customSheetViews>
    <customSheetView guid="{EF68B12E-EBBA-2A41-A53D-5D4E56265AE9}" showRuler="0" topLeftCell="A2">
      <pane ySplit="1" topLeftCell="A3" activePane="bottomLeft" state="frozenSplit"/>
      <selection pane="bottomLeft" activeCell="J9" sqref="J9"/>
      <pageMargins left="0.7" right="0.7" top="0.75" bottom="0.75" header="0.3" footer="0.3"/>
      <pageSetup paperSize="9" orientation="landscape" horizontalDpi="0" verticalDpi="0"/>
    </customSheetView>
  </customSheetViews>
  <phoneticPr fontId="3"/>
  <pageMargins left="0.7" right="0.7" top="0.75" bottom="0.75" header="0.3" footer="0.3"/>
  <pageSetup paperSize="9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AW50"/>
  <sheetViews>
    <sheetView showRuler="0" zoomScale="130" zoomScaleNormal="130" zoomScalePageLayoutView="90" workbookViewId="0">
      <pane ySplit="3" topLeftCell="A4" activePane="bottomLeft" state="frozen"/>
      <selection pane="bottomLeft" activeCell="C17" sqref="C17"/>
    </sheetView>
  </sheetViews>
  <sheetFormatPr baseColWidth="10" defaultColWidth="12.85546875" defaultRowHeight="20" x14ac:dyDescent="0.3"/>
  <cols>
    <col min="1" max="1" width="14.140625" style="1" customWidth="1"/>
    <col min="2" max="21" width="3.7109375" customWidth="1"/>
    <col min="22" max="41" width="3.7109375" hidden="1" customWidth="1"/>
    <col min="42" max="45" width="3.7109375" style="16" customWidth="1"/>
    <col min="46" max="46" width="8.7109375" style="29" customWidth="1"/>
    <col min="47" max="47" width="8.7109375" style="30" customWidth="1"/>
    <col min="48" max="48" width="8.7109375" style="6" customWidth="1"/>
    <col min="49" max="49" width="11.140625" style="6" customWidth="1"/>
  </cols>
  <sheetData>
    <row r="2" spans="1:49" ht="21" thickBot="1" x14ac:dyDescent="0.35">
      <c r="B2" s="56"/>
      <c r="C2" s="1" t="s">
        <v>45</v>
      </c>
      <c r="D2" s="56"/>
      <c r="E2" s="1" t="s">
        <v>12</v>
      </c>
      <c r="F2" s="56"/>
      <c r="G2" s="1" t="s">
        <v>13</v>
      </c>
      <c r="I2" s="1" t="s">
        <v>14</v>
      </c>
      <c r="J2" s="56"/>
      <c r="AP2" s="135" t="s">
        <v>31</v>
      </c>
      <c r="AQ2" s="135"/>
      <c r="AR2" s="135"/>
      <c r="AS2" s="135"/>
      <c r="AT2" s="135"/>
      <c r="AU2" s="135"/>
      <c r="AV2" s="135"/>
      <c r="AW2" s="27"/>
    </row>
    <row r="3" spans="1:49" ht="21" thickBot="1" x14ac:dyDescent="0.35">
      <c r="A3" s="2" t="s">
        <v>11</v>
      </c>
      <c r="B3" s="136" t="s">
        <v>38</v>
      </c>
      <c r="C3" s="137"/>
      <c r="D3" s="137"/>
      <c r="E3" s="138"/>
      <c r="F3" s="137" t="s">
        <v>0</v>
      </c>
      <c r="G3" s="137"/>
      <c r="H3" s="137"/>
      <c r="I3" s="137"/>
      <c r="J3" s="136" t="s">
        <v>1</v>
      </c>
      <c r="K3" s="137"/>
      <c r="L3" s="137"/>
      <c r="M3" s="138"/>
      <c r="N3" s="137" t="s">
        <v>2</v>
      </c>
      <c r="O3" s="137"/>
      <c r="P3" s="137"/>
      <c r="Q3" s="137"/>
      <c r="R3" s="136" t="s">
        <v>3</v>
      </c>
      <c r="S3" s="137"/>
      <c r="T3" s="137"/>
      <c r="U3" s="138"/>
      <c r="V3" s="136" t="s">
        <v>46</v>
      </c>
      <c r="W3" s="137"/>
      <c r="X3" s="137"/>
      <c r="Y3" s="137"/>
      <c r="Z3" s="136" t="s">
        <v>47</v>
      </c>
      <c r="AA3" s="137"/>
      <c r="AB3" s="137"/>
      <c r="AC3" s="137"/>
      <c r="AD3" s="136" t="s">
        <v>48</v>
      </c>
      <c r="AE3" s="137"/>
      <c r="AF3" s="137"/>
      <c r="AG3" s="138"/>
      <c r="AH3" s="136" t="s">
        <v>49</v>
      </c>
      <c r="AI3" s="137"/>
      <c r="AJ3" s="137"/>
      <c r="AK3" s="138"/>
      <c r="AL3" s="141" t="s">
        <v>50</v>
      </c>
      <c r="AM3" s="142"/>
      <c r="AN3" s="142"/>
      <c r="AO3" s="143"/>
      <c r="AP3" s="139" t="s">
        <v>22</v>
      </c>
      <c r="AQ3" s="140"/>
      <c r="AR3" s="140"/>
      <c r="AS3" s="140"/>
      <c r="AT3" s="29" t="s">
        <v>39</v>
      </c>
      <c r="AU3" s="30" t="s">
        <v>4</v>
      </c>
      <c r="AV3" s="6" t="s">
        <v>40</v>
      </c>
      <c r="AW3" s="6" t="s">
        <v>41</v>
      </c>
    </row>
    <row r="4" spans="1:49" x14ac:dyDescent="0.3">
      <c r="A4" s="5"/>
      <c r="B4" s="58"/>
      <c r="C4" s="59"/>
      <c r="D4" s="59"/>
      <c r="E4" s="60"/>
      <c r="F4" s="59"/>
      <c r="G4" s="61"/>
      <c r="H4" s="59"/>
      <c r="I4" s="59"/>
      <c r="J4" s="58"/>
      <c r="K4" s="59"/>
      <c r="L4" s="59"/>
      <c r="M4" s="60"/>
      <c r="N4" s="59"/>
      <c r="O4" s="59"/>
      <c r="P4" s="59"/>
      <c r="Q4" s="59"/>
      <c r="R4" s="58"/>
      <c r="S4" s="59"/>
      <c r="T4" s="59"/>
      <c r="U4" s="60"/>
      <c r="V4" s="59"/>
      <c r="W4" s="59"/>
      <c r="X4" s="59"/>
      <c r="Y4" s="59"/>
      <c r="Z4" s="58"/>
      <c r="AA4" s="59"/>
      <c r="AB4" s="59"/>
      <c r="AC4" s="59"/>
      <c r="AD4" s="58"/>
      <c r="AE4" s="59"/>
      <c r="AF4" s="59"/>
      <c r="AG4" s="60"/>
      <c r="AH4" s="59"/>
      <c r="AI4" s="59"/>
      <c r="AJ4" s="59"/>
      <c r="AK4" s="59"/>
      <c r="AL4" s="58"/>
      <c r="AM4" s="59"/>
      <c r="AN4" s="59"/>
      <c r="AO4" s="60"/>
      <c r="AP4" s="62"/>
      <c r="AQ4" s="62"/>
      <c r="AR4" s="62"/>
      <c r="AS4" s="62"/>
      <c r="AT4" s="31"/>
      <c r="AU4" s="32"/>
      <c r="AV4" s="63"/>
      <c r="AW4" s="63"/>
    </row>
    <row r="5" spans="1:49" x14ac:dyDescent="0.3">
      <c r="A5" s="3"/>
      <c r="B5" s="9"/>
      <c r="C5" s="64"/>
      <c r="D5" s="64"/>
      <c r="E5" s="49"/>
      <c r="F5" s="64"/>
      <c r="G5" s="64"/>
      <c r="H5" s="64"/>
      <c r="I5" s="64"/>
      <c r="J5" s="9"/>
      <c r="K5" s="64"/>
      <c r="L5" s="64"/>
      <c r="M5" s="49"/>
      <c r="N5" s="64"/>
      <c r="O5" s="64"/>
      <c r="P5" s="64"/>
      <c r="Q5" s="64"/>
      <c r="R5" s="9"/>
      <c r="S5" s="64"/>
      <c r="T5" s="64"/>
      <c r="U5" s="49"/>
      <c r="V5" s="64"/>
      <c r="W5" s="64"/>
      <c r="X5" s="64"/>
      <c r="Y5" s="64"/>
      <c r="Z5" s="9"/>
      <c r="AA5" s="64"/>
      <c r="AB5" s="64"/>
      <c r="AC5" s="64"/>
      <c r="AD5" s="9"/>
      <c r="AE5" s="64"/>
      <c r="AF5" s="64"/>
      <c r="AG5" s="49"/>
      <c r="AH5" s="64"/>
      <c r="AI5" s="64"/>
      <c r="AJ5" s="64"/>
      <c r="AK5" s="64"/>
      <c r="AL5" s="9"/>
      <c r="AM5" s="64"/>
      <c r="AN5" s="64"/>
      <c r="AO5" s="49"/>
      <c r="AP5" s="36"/>
      <c r="AQ5" s="36"/>
      <c r="AR5" s="36"/>
      <c r="AS5" s="36"/>
      <c r="AT5" s="65"/>
      <c r="AU5" s="33"/>
      <c r="AV5" s="1"/>
      <c r="AW5" s="1"/>
    </row>
    <row r="6" spans="1:49" x14ac:dyDescent="0.3">
      <c r="A6" s="4"/>
      <c r="B6" s="38"/>
      <c r="C6" s="66"/>
      <c r="D6" s="66"/>
      <c r="E6" s="67"/>
      <c r="F6" s="66"/>
      <c r="G6" s="66"/>
      <c r="H6" s="66"/>
      <c r="I6" s="66"/>
      <c r="J6" s="38"/>
      <c r="K6" s="66"/>
      <c r="L6" s="66"/>
      <c r="M6" s="67"/>
      <c r="N6" s="66"/>
      <c r="O6" s="66"/>
      <c r="P6" s="66"/>
      <c r="Q6" s="66"/>
      <c r="R6" s="38"/>
      <c r="S6" s="66"/>
      <c r="T6" s="66"/>
      <c r="U6" s="67"/>
      <c r="V6" s="66"/>
      <c r="W6" s="66"/>
      <c r="X6" s="66"/>
      <c r="Y6" s="66"/>
      <c r="Z6" s="38"/>
      <c r="AA6" s="66"/>
      <c r="AB6" s="66"/>
      <c r="AC6" s="66"/>
      <c r="AD6" s="38"/>
      <c r="AE6" s="66"/>
      <c r="AF6" s="66"/>
      <c r="AG6" s="67"/>
      <c r="AH6" s="66"/>
      <c r="AI6" s="66"/>
      <c r="AJ6" s="66"/>
      <c r="AK6" s="66"/>
      <c r="AL6" s="38"/>
      <c r="AM6" s="66"/>
      <c r="AN6" s="66"/>
      <c r="AO6" s="67"/>
      <c r="AP6" s="62"/>
      <c r="AQ6" s="62"/>
      <c r="AR6" s="62"/>
      <c r="AS6" s="62"/>
      <c r="AT6" s="31"/>
      <c r="AU6" s="32"/>
      <c r="AV6" s="63"/>
      <c r="AW6" s="63"/>
    </row>
    <row r="7" spans="1:49" x14ac:dyDescent="0.3">
      <c r="A7" s="3"/>
      <c r="B7" s="9"/>
      <c r="C7" s="64"/>
      <c r="D7" s="64"/>
      <c r="E7" s="49"/>
      <c r="F7" s="64"/>
      <c r="G7" s="64"/>
      <c r="H7" s="64"/>
      <c r="I7" s="64"/>
      <c r="J7" s="9"/>
      <c r="K7" s="64"/>
      <c r="L7" s="64"/>
      <c r="M7" s="49"/>
      <c r="N7" s="64"/>
      <c r="O7" s="64"/>
      <c r="P7" s="64"/>
      <c r="Q7" s="64"/>
      <c r="R7" s="9"/>
      <c r="S7" s="64"/>
      <c r="T7" s="64"/>
      <c r="U7" s="49"/>
      <c r="V7" s="64"/>
      <c r="W7" s="64"/>
      <c r="X7" s="64"/>
      <c r="Y7" s="64"/>
      <c r="Z7" s="9"/>
      <c r="AA7" s="64"/>
      <c r="AB7" s="64"/>
      <c r="AC7" s="64"/>
      <c r="AD7" s="9"/>
      <c r="AE7" s="64"/>
      <c r="AF7" s="64"/>
      <c r="AG7" s="49"/>
      <c r="AH7" s="64"/>
      <c r="AI7" s="64"/>
      <c r="AJ7" s="64"/>
      <c r="AK7" s="64"/>
      <c r="AL7" s="9"/>
      <c r="AM7" s="64"/>
      <c r="AN7" s="64"/>
      <c r="AO7" s="49"/>
      <c r="AP7" s="36"/>
      <c r="AQ7" s="36"/>
      <c r="AR7" s="36"/>
      <c r="AS7" s="36"/>
      <c r="AT7" s="65"/>
      <c r="AU7" s="33"/>
      <c r="AV7" s="1"/>
      <c r="AW7" s="1"/>
    </row>
    <row r="8" spans="1:49" x14ac:dyDescent="0.3">
      <c r="A8" s="4"/>
      <c r="B8" s="38"/>
      <c r="C8" s="66"/>
      <c r="D8" s="66"/>
      <c r="E8" s="67"/>
      <c r="F8" s="66"/>
      <c r="G8" s="66"/>
      <c r="H8" s="66"/>
      <c r="I8" s="66"/>
      <c r="J8" s="38"/>
      <c r="K8" s="66"/>
      <c r="L8" s="66"/>
      <c r="M8" s="67"/>
      <c r="N8" s="66"/>
      <c r="O8" s="66"/>
      <c r="P8" s="66"/>
      <c r="Q8" s="66"/>
      <c r="R8" s="38"/>
      <c r="S8" s="66"/>
      <c r="T8" s="66"/>
      <c r="U8" s="67"/>
      <c r="V8" s="66"/>
      <c r="W8" s="66"/>
      <c r="X8" s="66"/>
      <c r="Y8" s="66"/>
      <c r="Z8" s="38"/>
      <c r="AA8" s="66"/>
      <c r="AB8" s="66"/>
      <c r="AC8" s="66"/>
      <c r="AD8" s="38"/>
      <c r="AE8" s="66"/>
      <c r="AF8" s="66"/>
      <c r="AG8" s="67"/>
      <c r="AH8" s="66"/>
      <c r="AI8" s="66"/>
      <c r="AJ8" s="66"/>
      <c r="AK8" s="66"/>
      <c r="AL8" s="38"/>
      <c r="AM8" s="66"/>
      <c r="AN8" s="66"/>
      <c r="AO8" s="67"/>
      <c r="AP8" s="62"/>
      <c r="AQ8" s="62"/>
      <c r="AR8" s="62"/>
      <c r="AS8" s="62"/>
      <c r="AT8" s="31"/>
      <c r="AU8" s="32"/>
      <c r="AV8" s="63"/>
      <c r="AW8" s="63"/>
    </row>
    <row r="9" spans="1:49" x14ac:dyDescent="0.3">
      <c r="A9" s="3"/>
      <c r="B9" s="9"/>
      <c r="C9" s="64"/>
      <c r="D9" s="64"/>
      <c r="E9" s="49"/>
      <c r="F9" s="64"/>
      <c r="G9" s="64"/>
      <c r="H9" s="64"/>
      <c r="I9" s="64"/>
      <c r="J9" s="9"/>
      <c r="K9" s="64"/>
      <c r="L9" s="64"/>
      <c r="M9" s="49"/>
      <c r="N9" s="64"/>
      <c r="O9" s="64"/>
      <c r="P9" s="64"/>
      <c r="Q9" s="64"/>
      <c r="R9" s="9"/>
      <c r="S9" s="64"/>
      <c r="T9" s="64"/>
      <c r="U9" s="49"/>
      <c r="V9" s="64"/>
      <c r="W9" s="64"/>
      <c r="X9" s="64"/>
      <c r="Y9" s="64"/>
      <c r="Z9" s="9"/>
      <c r="AA9" s="64"/>
      <c r="AB9" s="64"/>
      <c r="AC9" s="64"/>
      <c r="AD9" s="9"/>
      <c r="AE9" s="64"/>
      <c r="AF9" s="64"/>
      <c r="AG9" s="49"/>
      <c r="AH9" s="64"/>
      <c r="AI9" s="64"/>
      <c r="AJ9" s="64"/>
      <c r="AK9" s="64"/>
      <c r="AL9" s="9"/>
      <c r="AM9" s="64"/>
      <c r="AN9" s="64"/>
      <c r="AO9" s="49"/>
      <c r="AP9" s="36"/>
      <c r="AQ9" s="36"/>
      <c r="AR9" s="36"/>
      <c r="AS9" s="36"/>
      <c r="AT9" s="65"/>
      <c r="AU9" s="33"/>
      <c r="AV9" s="1"/>
      <c r="AW9" s="1"/>
    </row>
    <row r="10" spans="1:49" x14ac:dyDescent="0.3">
      <c r="A10" s="4"/>
      <c r="B10" s="38"/>
      <c r="C10" s="66"/>
      <c r="D10" s="66"/>
      <c r="E10" s="67"/>
      <c r="F10" s="66"/>
      <c r="G10" s="66"/>
      <c r="H10" s="66"/>
      <c r="I10" s="66"/>
      <c r="J10" s="38"/>
      <c r="K10" s="66"/>
      <c r="L10" s="66"/>
      <c r="M10" s="67"/>
      <c r="N10" s="66"/>
      <c r="O10" s="66"/>
      <c r="P10" s="66"/>
      <c r="Q10" s="66"/>
      <c r="R10" s="38"/>
      <c r="S10" s="66"/>
      <c r="T10" s="66"/>
      <c r="U10" s="67"/>
      <c r="V10" s="66"/>
      <c r="W10" s="66"/>
      <c r="X10" s="66"/>
      <c r="Y10" s="66"/>
      <c r="Z10" s="38"/>
      <c r="AA10" s="66"/>
      <c r="AB10" s="66"/>
      <c r="AC10" s="66"/>
      <c r="AD10" s="38"/>
      <c r="AE10" s="66"/>
      <c r="AF10" s="66"/>
      <c r="AG10" s="67"/>
      <c r="AH10" s="66"/>
      <c r="AI10" s="66"/>
      <c r="AJ10" s="66"/>
      <c r="AK10" s="66"/>
      <c r="AL10" s="38"/>
      <c r="AM10" s="66"/>
      <c r="AN10" s="66"/>
      <c r="AO10" s="67"/>
      <c r="AP10" s="62"/>
      <c r="AQ10" s="62"/>
      <c r="AR10" s="62"/>
      <c r="AS10" s="62"/>
      <c r="AT10" s="31"/>
      <c r="AU10" s="32"/>
      <c r="AV10" s="63"/>
      <c r="AW10" s="63"/>
    </row>
    <row r="11" spans="1:49" x14ac:dyDescent="0.3">
      <c r="A11" s="3"/>
      <c r="B11" s="9"/>
      <c r="C11" s="64"/>
      <c r="D11" s="64"/>
      <c r="E11" s="49"/>
      <c r="F11" s="64"/>
      <c r="G11" s="64"/>
      <c r="H11" s="64"/>
      <c r="I11" s="64"/>
      <c r="J11" s="9"/>
      <c r="K11" s="64"/>
      <c r="L11" s="64"/>
      <c r="M11" s="49"/>
      <c r="N11" s="64"/>
      <c r="O11" s="64"/>
      <c r="P11" s="64"/>
      <c r="Q11" s="64"/>
      <c r="R11" s="9"/>
      <c r="S11" s="64"/>
      <c r="T11" s="64"/>
      <c r="U11" s="49"/>
      <c r="V11" s="64"/>
      <c r="W11" s="64"/>
      <c r="X11" s="64"/>
      <c r="Y11" s="64"/>
      <c r="Z11" s="9"/>
      <c r="AA11" s="64"/>
      <c r="AB11" s="64"/>
      <c r="AC11" s="64"/>
      <c r="AD11" s="9"/>
      <c r="AE11" s="64"/>
      <c r="AF11" s="64"/>
      <c r="AG11" s="49"/>
      <c r="AH11" s="64"/>
      <c r="AI11" s="64"/>
      <c r="AJ11" s="64"/>
      <c r="AK11" s="64"/>
      <c r="AL11" s="9"/>
      <c r="AM11" s="64"/>
      <c r="AN11" s="64"/>
      <c r="AO11" s="49"/>
      <c r="AP11" s="36"/>
      <c r="AQ11" s="36"/>
      <c r="AR11" s="36"/>
      <c r="AS11" s="36"/>
      <c r="AT11" s="65"/>
      <c r="AU11" s="33"/>
      <c r="AV11" s="1"/>
      <c r="AW11" s="1"/>
    </row>
    <row r="12" spans="1:49" x14ac:dyDescent="0.3">
      <c r="A12" s="4"/>
      <c r="B12" s="38"/>
      <c r="C12" s="66"/>
      <c r="D12" s="66"/>
      <c r="E12" s="67"/>
      <c r="F12" s="66"/>
      <c r="G12" s="66"/>
      <c r="H12" s="66"/>
      <c r="I12" s="66"/>
      <c r="J12" s="38"/>
      <c r="K12" s="66"/>
      <c r="L12" s="66"/>
      <c r="M12" s="67"/>
      <c r="N12" s="66"/>
      <c r="O12" s="66"/>
      <c r="P12" s="66"/>
      <c r="Q12" s="66"/>
      <c r="R12" s="38"/>
      <c r="S12" s="66"/>
      <c r="T12" s="66"/>
      <c r="U12" s="67"/>
      <c r="V12" s="66"/>
      <c r="W12" s="66"/>
      <c r="X12" s="66"/>
      <c r="Y12" s="66"/>
      <c r="Z12" s="38"/>
      <c r="AA12" s="66"/>
      <c r="AB12" s="66"/>
      <c r="AC12" s="66"/>
      <c r="AD12" s="38"/>
      <c r="AE12" s="66"/>
      <c r="AF12" s="66"/>
      <c r="AG12" s="67"/>
      <c r="AH12" s="66"/>
      <c r="AI12" s="66"/>
      <c r="AJ12" s="66"/>
      <c r="AK12" s="66"/>
      <c r="AL12" s="38"/>
      <c r="AM12" s="66"/>
      <c r="AN12" s="66"/>
      <c r="AO12" s="67"/>
      <c r="AP12" s="62"/>
      <c r="AQ12" s="62"/>
      <c r="AR12" s="62"/>
      <c r="AS12" s="62"/>
      <c r="AT12" s="31"/>
      <c r="AU12" s="32"/>
      <c r="AV12" s="63"/>
      <c r="AW12" s="63"/>
    </row>
    <row r="13" spans="1:49" x14ac:dyDescent="0.3">
      <c r="A13" s="3"/>
      <c r="B13" s="9"/>
      <c r="C13" s="64"/>
      <c r="D13" s="64"/>
      <c r="E13" s="49"/>
      <c r="F13" s="64"/>
      <c r="G13" s="64"/>
      <c r="H13" s="64"/>
      <c r="I13" s="64"/>
      <c r="J13" s="9"/>
      <c r="K13" s="64"/>
      <c r="L13" s="64"/>
      <c r="M13" s="49"/>
      <c r="N13" s="64"/>
      <c r="O13" s="64"/>
      <c r="P13" s="64"/>
      <c r="Q13" s="64"/>
      <c r="R13" s="9"/>
      <c r="S13" s="64"/>
      <c r="T13" s="64"/>
      <c r="U13" s="49"/>
      <c r="V13" s="64"/>
      <c r="W13" s="64"/>
      <c r="X13" s="64"/>
      <c r="Y13" s="64"/>
      <c r="Z13" s="9"/>
      <c r="AA13" s="64"/>
      <c r="AB13" s="64"/>
      <c r="AC13" s="64"/>
      <c r="AD13" s="9"/>
      <c r="AE13" s="64"/>
      <c r="AF13" s="64"/>
      <c r="AG13" s="49"/>
      <c r="AH13" s="64"/>
      <c r="AI13" s="64"/>
      <c r="AJ13" s="64"/>
      <c r="AK13" s="64"/>
      <c r="AL13" s="9"/>
      <c r="AM13" s="64"/>
      <c r="AN13" s="64"/>
      <c r="AO13" s="49"/>
      <c r="AP13" s="36"/>
      <c r="AQ13" s="36"/>
      <c r="AR13" s="36"/>
      <c r="AS13" s="36"/>
      <c r="AT13" s="65"/>
      <c r="AU13" s="33"/>
      <c r="AV13" s="1"/>
      <c r="AW13" s="1"/>
    </row>
    <row r="14" spans="1:49" x14ac:dyDescent="0.3">
      <c r="A14" s="4"/>
      <c r="B14" s="38"/>
      <c r="C14" s="66"/>
      <c r="D14" s="66"/>
      <c r="E14" s="67"/>
      <c r="F14" s="66"/>
      <c r="G14" s="66"/>
      <c r="H14" s="66"/>
      <c r="I14" s="66"/>
      <c r="J14" s="38"/>
      <c r="K14" s="66"/>
      <c r="L14" s="66"/>
      <c r="M14" s="67"/>
      <c r="N14" s="66"/>
      <c r="O14" s="66"/>
      <c r="P14" s="66"/>
      <c r="Q14" s="66"/>
      <c r="R14" s="38"/>
      <c r="S14" s="66"/>
      <c r="T14" s="66"/>
      <c r="U14" s="67"/>
      <c r="V14" s="66"/>
      <c r="W14" s="66"/>
      <c r="X14" s="66"/>
      <c r="Y14" s="66"/>
      <c r="Z14" s="38"/>
      <c r="AA14" s="66"/>
      <c r="AB14" s="66"/>
      <c r="AC14" s="66"/>
      <c r="AD14" s="38"/>
      <c r="AE14" s="66"/>
      <c r="AF14" s="66"/>
      <c r="AG14" s="67"/>
      <c r="AH14" s="66"/>
      <c r="AI14" s="66"/>
      <c r="AJ14" s="66"/>
      <c r="AK14" s="66"/>
      <c r="AL14" s="38"/>
      <c r="AM14" s="66"/>
      <c r="AN14" s="66"/>
      <c r="AO14" s="67"/>
      <c r="AP14" s="62"/>
      <c r="AQ14" s="62"/>
      <c r="AR14" s="62"/>
      <c r="AS14" s="62"/>
      <c r="AT14" s="31"/>
      <c r="AU14" s="32"/>
      <c r="AV14" s="63"/>
      <c r="AW14" s="63"/>
    </row>
    <row r="15" spans="1:49" x14ac:dyDescent="0.3">
      <c r="A15" s="3"/>
      <c r="B15" s="9"/>
      <c r="C15" s="64"/>
      <c r="D15" s="64"/>
      <c r="E15" s="49"/>
      <c r="F15" s="64"/>
      <c r="G15" s="64"/>
      <c r="H15" s="64"/>
      <c r="I15" s="64"/>
      <c r="J15" s="9"/>
      <c r="K15" s="64"/>
      <c r="L15" s="64"/>
      <c r="M15" s="49"/>
      <c r="N15" s="64"/>
      <c r="O15" s="64"/>
      <c r="P15" s="64"/>
      <c r="Q15" s="64"/>
      <c r="R15" s="9"/>
      <c r="S15" s="64"/>
      <c r="T15" s="64"/>
      <c r="U15" s="49"/>
      <c r="V15" s="64"/>
      <c r="W15" s="64"/>
      <c r="X15" s="64"/>
      <c r="Y15" s="64"/>
      <c r="Z15" s="9"/>
      <c r="AA15" s="64"/>
      <c r="AB15" s="64"/>
      <c r="AC15" s="64"/>
      <c r="AD15" s="9"/>
      <c r="AE15" s="64"/>
      <c r="AF15" s="64"/>
      <c r="AG15" s="49"/>
      <c r="AH15" s="64"/>
      <c r="AI15" s="64"/>
      <c r="AJ15" s="64"/>
      <c r="AK15" s="64"/>
      <c r="AL15" s="9"/>
      <c r="AM15" s="64"/>
      <c r="AN15" s="64"/>
      <c r="AO15" s="49"/>
      <c r="AP15" s="36"/>
      <c r="AQ15" s="36"/>
      <c r="AR15" s="36"/>
      <c r="AS15" s="36"/>
      <c r="AT15" s="65"/>
      <c r="AU15" s="33"/>
      <c r="AV15" s="1"/>
      <c r="AW15" s="1"/>
    </row>
    <row r="16" spans="1:49" x14ac:dyDescent="0.3">
      <c r="A16" s="4"/>
      <c r="B16" s="38"/>
      <c r="C16" s="66"/>
      <c r="D16" s="66"/>
      <c r="E16" s="67"/>
      <c r="F16" s="66"/>
      <c r="G16" s="66"/>
      <c r="H16" s="66"/>
      <c r="I16" s="66"/>
      <c r="J16" s="38"/>
      <c r="K16" s="66"/>
      <c r="L16" s="66"/>
      <c r="M16" s="67"/>
      <c r="N16" s="66"/>
      <c r="O16" s="66"/>
      <c r="P16" s="66"/>
      <c r="Q16" s="66"/>
      <c r="R16" s="38"/>
      <c r="S16" s="66"/>
      <c r="T16" s="66"/>
      <c r="U16" s="67"/>
      <c r="V16" s="66"/>
      <c r="W16" s="66"/>
      <c r="X16" s="66"/>
      <c r="Y16" s="66"/>
      <c r="Z16" s="38"/>
      <c r="AA16" s="66"/>
      <c r="AB16" s="66"/>
      <c r="AC16" s="66"/>
      <c r="AD16" s="38"/>
      <c r="AE16" s="66"/>
      <c r="AF16" s="66"/>
      <c r="AG16" s="67"/>
      <c r="AH16" s="66"/>
      <c r="AI16" s="66"/>
      <c r="AJ16" s="66"/>
      <c r="AK16" s="66"/>
      <c r="AL16" s="38"/>
      <c r="AM16" s="66"/>
      <c r="AN16" s="66"/>
      <c r="AO16" s="67"/>
      <c r="AP16" s="62"/>
      <c r="AQ16" s="62"/>
      <c r="AR16" s="62"/>
      <c r="AS16" s="62"/>
      <c r="AT16" s="31"/>
      <c r="AU16" s="32"/>
      <c r="AV16" s="63"/>
      <c r="AW16" s="63"/>
    </row>
    <row r="17" spans="1:49" x14ac:dyDescent="0.3">
      <c r="A17" s="3"/>
      <c r="B17" s="9"/>
      <c r="C17" s="64"/>
      <c r="D17" s="64"/>
      <c r="E17" s="49"/>
      <c r="F17" s="64"/>
      <c r="G17" s="64"/>
      <c r="H17" s="64"/>
      <c r="I17" s="64"/>
      <c r="J17" s="9"/>
      <c r="K17" s="64"/>
      <c r="L17" s="64"/>
      <c r="M17" s="49"/>
      <c r="N17" s="64"/>
      <c r="O17" s="64"/>
      <c r="P17" s="64"/>
      <c r="Q17" s="64"/>
      <c r="R17" s="9"/>
      <c r="S17" s="64"/>
      <c r="T17" s="64"/>
      <c r="U17" s="49"/>
      <c r="V17" s="64"/>
      <c r="W17" s="64"/>
      <c r="X17" s="64"/>
      <c r="Y17" s="64"/>
      <c r="Z17" s="9"/>
      <c r="AA17" s="64"/>
      <c r="AB17" s="64"/>
      <c r="AC17" s="64"/>
      <c r="AD17" s="9"/>
      <c r="AE17" s="64"/>
      <c r="AF17" s="64"/>
      <c r="AG17" s="49"/>
      <c r="AH17" s="64"/>
      <c r="AI17" s="64"/>
      <c r="AJ17" s="64"/>
      <c r="AK17" s="64"/>
      <c r="AL17" s="9"/>
      <c r="AM17" s="64"/>
      <c r="AN17" s="64"/>
      <c r="AO17" s="49"/>
      <c r="AP17" s="36"/>
      <c r="AQ17" s="36"/>
      <c r="AR17" s="36"/>
      <c r="AS17" s="36"/>
      <c r="AT17" s="65"/>
      <c r="AU17" s="33"/>
      <c r="AV17" s="1"/>
      <c r="AW17" s="1"/>
    </row>
    <row r="18" spans="1:49" x14ac:dyDescent="0.3">
      <c r="A18" s="4"/>
      <c r="B18" s="38"/>
      <c r="C18" s="66"/>
      <c r="D18" s="66"/>
      <c r="E18" s="67"/>
      <c r="F18" s="66"/>
      <c r="G18" s="66"/>
      <c r="H18" s="66"/>
      <c r="I18" s="66"/>
      <c r="J18" s="38"/>
      <c r="K18" s="66"/>
      <c r="L18" s="66"/>
      <c r="M18" s="67"/>
      <c r="N18" s="66"/>
      <c r="O18" s="66"/>
      <c r="P18" s="66"/>
      <c r="Q18" s="66"/>
      <c r="R18" s="38"/>
      <c r="S18" s="66"/>
      <c r="T18" s="66"/>
      <c r="U18" s="67"/>
      <c r="V18" s="66"/>
      <c r="W18" s="66"/>
      <c r="X18" s="66"/>
      <c r="Y18" s="66"/>
      <c r="Z18" s="38"/>
      <c r="AA18" s="66"/>
      <c r="AB18" s="66"/>
      <c r="AC18" s="66"/>
      <c r="AD18" s="38"/>
      <c r="AE18" s="66"/>
      <c r="AF18" s="66"/>
      <c r="AG18" s="67"/>
      <c r="AH18" s="66"/>
      <c r="AI18" s="66"/>
      <c r="AJ18" s="66"/>
      <c r="AK18" s="66"/>
      <c r="AL18" s="38"/>
      <c r="AM18" s="66"/>
      <c r="AN18" s="66"/>
      <c r="AO18" s="67"/>
      <c r="AP18" s="62"/>
      <c r="AQ18" s="62"/>
      <c r="AR18" s="62"/>
      <c r="AS18" s="62"/>
      <c r="AT18" s="31"/>
      <c r="AU18" s="32"/>
      <c r="AV18" s="63"/>
      <c r="AW18" s="63"/>
    </row>
    <row r="19" spans="1:49" x14ac:dyDescent="0.3">
      <c r="A19" s="3"/>
      <c r="B19" s="9"/>
      <c r="C19" s="64"/>
      <c r="D19" s="64"/>
      <c r="E19" s="49"/>
      <c r="F19" s="64"/>
      <c r="G19" s="64"/>
      <c r="H19" s="64"/>
      <c r="I19" s="64"/>
      <c r="J19" s="9"/>
      <c r="K19" s="64"/>
      <c r="L19" s="64"/>
      <c r="M19" s="49"/>
      <c r="N19" s="64"/>
      <c r="O19" s="64"/>
      <c r="P19" s="64"/>
      <c r="Q19" s="64"/>
      <c r="R19" s="9"/>
      <c r="S19" s="64"/>
      <c r="T19" s="64"/>
      <c r="U19" s="49"/>
      <c r="V19" s="64"/>
      <c r="W19" s="64"/>
      <c r="X19" s="64"/>
      <c r="Y19" s="64"/>
      <c r="Z19" s="9"/>
      <c r="AA19" s="64"/>
      <c r="AB19" s="64"/>
      <c r="AC19" s="64"/>
      <c r="AD19" s="9"/>
      <c r="AE19" s="64"/>
      <c r="AF19" s="64"/>
      <c r="AG19" s="49"/>
      <c r="AH19" s="64"/>
      <c r="AI19" s="64"/>
      <c r="AJ19" s="64"/>
      <c r="AK19" s="64"/>
      <c r="AL19" s="9"/>
      <c r="AM19" s="64"/>
      <c r="AN19" s="64"/>
      <c r="AO19" s="49"/>
      <c r="AP19" s="36"/>
      <c r="AQ19" s="36"/>
      <c r="AR19" s="36"/>
      <c r="AS19" s="36"/>
      <c r="AT19" s="65"/>
      <c r="AU19" s="33"/>
      <c r="AV19" s="1"/>
      <c r="AW19" s="1"/>
    </row>
    <row r="20" spans="1:49" x14ac:dyDescent="0.3">
      <c r="A20" s="4"/>
      <c r="B20" s="38"/>
      <c r="C20" s="66"/>
      <c r="D20" s="66"/>
      <c r="E20" s="67"/>
      <c r="F20" s="66"/>
      <c r="G20" s="66"/>
      <c r="H20" s="66"/>
      <c r="I20" s="66"/>
      <c r="J20" s="38"/>
      <c r="K20" s="66"/>
      <c r="L20" s="66"/>
      <c r="M20" s="67"/>
      <c r="N20" s="66"/>
      <c r="O20" s="66"/>
      <c r="P20" s="66"/>
      <c r="Q20" s="66"/>
      <c r="R20" s="38"/>
      <c r="S20" s="66"/>
      <c r="T20" s="66"/>
      <c r="U20" s="67"/>
      <c r="V20" s="66"/>
      <c r="W20" s="66"/>
      <c r="X20" s="66"/>
      <c r="Y20" s="66"/>
      <c r="Z20" s="38"/>
      <c r="AA20" s="66"/>
      <c r="AB20" s="66"/>
      <c r="AC20" s="66"/>
      <c r="AD20" s="38"/>
      <c r="AE20" s="66"/>
      <c r="AF20" s="66"/>
      <c r="AG20" s="67"/>
      <c r="AH20" s="66"/>
      <c r="AI20" s="66"/>
      <c r="AJ20" s="66"/>
      <c r="AK20" s="66"/>
      <c r="AL20" s="38"/>
      <c r="AM20" s="66"/>
      <c r="AN20" s="66"/>
      <c r="AO20" s="67"/>
      <c r="AP20" s="62"/>
      <c r="AQ20" s="62"/>
      <c r="AR20" s="62"/>
      <c r="AS20" s="62"/>
      <c r="AT20" s="31"/>
      <c r="AU20" s="32"/>
      <c r="AV20" s="63"/>
      <c r="AW20" s="63"/>
    </row>
    <row r="21" spans="1:49" x14ac:dyDescent="0.3">
      <c r="A21" s="3"/>
      <c r="B21" s="9"/>
      <c r="C21" s="64"/>
      <c r="D21" s="64"/>
      <c r="E21" s="49"/>
      <c r="F21" s="64"/>
      <c r="G21" s="64"/>
      <c r="H21" s="64"/>
      <c r="I21" s="64"/>
      <c r="J21" s="9"/>
      <c r="K21" s="64"/>
      <c r="L21" s="64"/>
      <c r="M21" s="49"/>
      <c r="N21" s="64"/>
      <c r="O21" s="64"/>
      <c r="P21" s="64"/>
      <c r="Q21" s="64"/>
      <c r="R21" s="9"/>
      <c r="S21" s="64"/>
      <c r="T21" s="64"/>
      <c r="U21" s="49"/>
      <c r="V21" s="64"/>
      <c r="W21" s="64"/>
      <c r="X21" s="64"/>
      <c r="Y21" s="64"/>
      <c r="Z21" s="9"/>
      <c r="AA21" s="64"/>
      <c r="AB21" s="64"/>
      <c r="AC21" s="64"/>
      <c r="AD21" s="9"/>
      <c r="AE21" s="64"/>
      <c r="AF21" s="64"/>
      <c r="AG21" s="49"/>
      <c r="AH21" s="64"/>
      <c r="AI21" s="64"/>
      <c r="AJ21" s="64"/>
      <c r="AK21" s="64"/>
      <c r="AL21" s="9"/>
      <c r="AM21" s="64"/>
      <c r="AN21" s="64"/>
      <c r="AO21" s="49"/>
      <c r="AP21" s="36"/>
      <c r="AQ21" s="36"/>
      <c r="AR21" s="36"/>
      <c r="AS21" s="36"/>
      <c r="AT21" s="65"/>
      <c r="AU21" s="33"/>
      <c r="AV21" s="1"/>
      <c r="AW21" s="1"/>
    </row>
    <row r="22" spans="1:49" x14ac:dyDescent="0.3">
      <c r="A22" s="4"/>
      <c r="B22" s="38"/>
      <c r="C22" s="66"/>
      <c r="D22" s="66"/>
      <c r="E22" s="67"/>
      <c r="F22" s="66"/>
      <c r="G22" s="66"/>
      <c r="H22" s="66"/>
      <c r="I22" s="66"/>
      <c r="J22" s="38"/>
      <c r="K22" s="66"/>
      <c r="L22" s="66"/>
      <c r="M22" s="67"/>
      <c r="N22" s="66"/>
      <c r="O22" s="66"/>
      <c r="P22" s="66"/>
      <c r="Q22" s="66"/>
      <c r="R22" s="38"/>
      <c r="S22" s="66"/>
      <c r="T22" s="66"/>
      <c r="U22" s="67"/>
      <c r="V22" s="66"/>
      <c r="W22" s="66"/>
      <c r="X22" s="66"/>
      <c r="Y22" s="66"/>
      <c r="Z22" s="38"/>
      <c r="AA22" s="66"/>
      <c r="AB22" s="66"/>
      <c r="AC22" s="66"/>
      <c r="AD22" s="38"/>
      <c r="AE22" s="66"/>
      <c r="AF22" s="66"/>
      <c r="AG22" s="67"/>
      <c r="AH22" s="66"/>
      <c r="AI22" s="66"/>
      <c r="AJ22" s="66"/>
      <c r="AK22" s="66"/>
      <c r="AL22" s="38"/>
      <c r="AM22" s="66"/>
      <c r="AN22" s="66"/>
      <c r="AO22" s="67"/>
      <c r="AP22" s="62"/>
      <c r="AQ22" s="62"/>
      <c r="AR22" s="62"/>
      <c r="AS22" s="62"/>
      <c r="AT22" s="31"/>
      <c r="AU22" s="32"/>
      <c r="AV22" s="63"/>
      <c r="AW22" s="63"/>
    </row>
    <row r="23" spans="1:49" x14ac:dyDescent="0.3">
      <c r="A23" s="3"/>
      <c r="B23" s="9"/>
      <c r="C23" s="64"/>
      <c r="D23" s="64"/>
      <c r="E23" s="49"/>
      <c r="F23" s="64"/>
      <c r="G23" s="64"/>
      <c r="H23" s="64"/>
      <c r="I23" s="64"/>
      <c r="J23" s="9"/>
      <c r="K23" s="64"/>
      <c r="L23" s="64"/>
      <c r="M23" s="49"/>
      <c r="N23" s="64"/>
      <c r="O23" s="64"/>
      <c r="P23" s="64"/>
      <c r="Q23" s="64"/>
      <c r="R23" s="9"/>
      <c r="S23" s="64"/>
      <c r="T23" s="64"/>
      <c r="U23" s="49"/>
      <c r="V23" s="64"/>
      <c r="W23" s="64"/>
      <c r="X23" s="64"/>
      <c r="Y23" s="64"/>
      <c r="Z23" s="9"/>
      <c r="AA23" s="64"/>
      <c r="AB23" s="64"/>
      <c r="AC23" s="64"/>
      <c r="AD23" s="9"/>
      <c r="AE23" s="64"/>
      <c r="AF23" s="64"/>
      <c r="AG23" s="49"/>
      <c r="AH23" s="64"/>
      <c r="AI23" s="64"/>
      <c r="AJ23" s="64"/>
      <c r="AK23" s="64"/>
      <c r="AL23" s="9"/>
      <c r="AM23" s="64"/>
      <c r="AN23" s="64"/>
      <c r="AO23" s="49"/>
      <c r="AP23" s="36"/>
      <c r="AQ23" s="36"/>
      <c r="AR23" s="36"/>
      <c r="AS23" s="36"/>
      <c r="AT23" s="65"/>
      <c r="AU23" s="33"/>
      <c r="AV23" s="1"/>
      <c r="AW23" s="1"/>
    </row>
    <row r="24" spans="1:49" x14ac:dyDescent="0.3">
      <c r="A24" s="4"/>
      <c r="B24" s="38"/>
      <c r="C24" s="66"/>
      <c r="D24" s="66"/>
      <c r="E24" s="67"/>
      <c r="F24" s="66"/>
      <c r="G24" s="66"/>
      <c r="H24" s="66"/>
      <c r="I24" s="66"/>
      <c r="J24" s="38"/>
      <c r="K24" s="66"/>
      <c r="L24" s="66"/>
      <c r="M24" s="67"/>
      <c r="N24" s="66"/>
      <c r="O24" s="66"/>
      <c r="P24" s="66"/>
      <c r="Q24" s="66"/>
      <c r="R24" s="38"/>
      <c r="S24" s="66"/>
      <c r="T24" s="66"/>
      <c r="U24" s="67"/>
      <c r="V24" s="66"/>
      <c r="W24" s="66"/>
      <c r="X24" s="66"/>
      <c r="Y24" s="66"/>
      <c r="Z24" s="38"/>
      <c r="AA24" s="66"/>
      <c r="AB24" s="66"/>
      <c r="AC24" s="66"/>
      <c r="AD24" s="38"/>
      <c r="AE24" s="66"/>
      <c r="AF24" s="66"/>
      <c r="AG24" s="67"/>
      <c r="AH24" s="66"/>
      <c r="AI24" s="66"/>
      <c r="AJ24" s="66"/>
      <c r="AK24" s="66"/>
      <c r="AL24" s="38"/>
      <c r="AM24" s="66"/>
      <c r="AN24" s="66"/>
      <c r="AO24" s="67"/>
      <c r="AP24" s="62"/>
      <c r="AQ24" s="62"/>
      <c r="AR24" s="62"/>
      <c r="AS24" s="62"/>
      <c r="AT24" s="31"/>
      <c r="AU24" s="32"/>
      <c r="AV24" s="63"/>
      <c r="AW24" s="63"/>
    </row>
    <row r="25" spans="1:49" x14ac:dyDescent="0.3">
      <c r="A25" s="3"/>
      <c r="B25" s="9"/>
      <c r="C25" s="64"/>
      <c r="D25" s="64"/>
      <c r="E25" s="49"/>
      <c r="F25" s="64"/>
      <c r="G25" s="64"/>
      <c r="H25" s="64"/>
      <c r="I25" s="64"/>
      <c r="J25" s="9"/>
      <c r="K25" s="64"/>
      <c r="L25" s="64"/>
      <c r="M25" s="49"/>
      <c r="N25" s="64"/>
      <c r="O25" s="64"/>
      <c r="P25" s="64"/>
      <c r="Q25" s="64"/>
      <c r="R25" s="9"/>
      <c r="S25" s="64"/>
      <c r="T25" s="64"/>
      <c r="U25" s="49"/>
      <c r="V25" s="64"/>
      <c r="W25" s="64"/>
      <c r="X25" s="64"/>
      <c r="Y25" s="64"/>
      <c r="Z25" s="9"/>
      <c r="AA25" s="64"/>
      <c r="AB25" s="64"/>
      <c r="AC25" s="64"/>
      <c r="AD25" s="9"/>
      <c r="AE25" s="64"/>
      <c r="AF25" s="64"/>
      <c r="AG25" s="49"/>
      <c r="AH25" s="64"/>
      <c r="AI25" s="64"/>
      <c r="AJ25" s="64"/>
      <c r="AK25" s="64"/>
      <c r="AL25" s="9"/>
      <c r="AM25" s="64"/>
      <c r="AN25" s="64"/>
      <c r="AO25" s="49"/>
      <c r="AP25" s="36"/>
      <c r="AQ25" s="36"/>
      <c r="AR25" s="36"/>
      <c r="AS25" s="36"/>
      <c r="AT25" s="65"/>
      <c r="AU25" s="33"/>
      <c r="AV25" s="1"/>
      <c r="AW25" s="1"/>
    </row>
    <row r="26" spans="1:49" x14ac:dyDescent="0.3">
      <c r="A26" s="4"/>
      <c r="B26" s="38"/>
      <c r="C26" s="66"/>
      <c r="D26" s="66"/>
      <c r="E26" s="67"/>
      <c r="F26" s="66"/>
      <c r="G26" s="66"/>
      <c r="H26" s="66"/>
      <c r="I26" s="66"/>
      <c r="J26" s="38"/>
      <c r="K26" s="66"/>
      <c r="L26" s="66"/>
      <c r="M26" s="67"/>
      <c r="N26" s="66"/>
      <c r="O26" s="66"/>
      <c r="P26" s="66"/>
      <c r="Q26" s="66"/>
      <c r="R26" s="38"/>
      <c r="S26" s="66"/>
      <c r="T26" s="66"/>
      <c r="U26" s="67"/>
      <c r="V26" s="66"/>
      <c r="W26" s="66"/>
      <c r="X26" s="66"/>
      <c r="Y26" s="66"/>
      <c r="Z26" s="38"/>
      <c r="AA26" s="66"/>
      <c r="AB26" s="66"/>
      <c r="AC26" s="66"/>
      <c r="AD26" s="38"/>
      <c r="AE26" s="66"/>
      <c r="AF26" s="66"/>
      <c r="AG26" s="67"/>
      <c r="AH26" s="66"/>
      <c r="AI26" s="66"/>
      <c r="AJ26" s="66"/>
      <c r="AK26" s="66"/>
      <c r="AL26" s="38"/>
      <c r="AM26" s="66"/>
      <c r="AN26" s="66"/>
      <c r="AO26" s="67"/>
      <c r="AP26" s="62"/>
      <c r="AQ26" s="62"/>
      <c r="AR26" s="62"/>
      <c r="AS26" s="62"/>
      <c r="AT26" s="31"/>
      <c r="AU26" s="32"/>
      <c r="AV26" s="63"/>
      <c r="AW26" s="63"/>
    </row>
    <row r="27" spans="1:49" x14ac:dyDescent="0.3">
      <c r="A27" s="3"/>
      <c r="B27" s="9"/>
      <c r="C27" s="64"/>
      <c r="D27" s="64"/>
      <c r="E27" s="49"/>
      <c r="F27" s="64"/>
      <c r="G27" s="64"/>
      <c r="H27" s="64"/>
      <c r="I27" s="64"/>
      <c r="J27" s="9"/>
      <c r="K27" s="64"/>
      <c r="L27" s="64"/>
      <c r="M27" s="49"/>
      <c r="N27" s="64"/>
      <c r="O27" s="64"/>
      <c r="P27" s="64"/>
      <c r="Q27" s="64"/>
      <c r="R27" s="9"/>
      <c r="S27" s="64"/>
      <c r="T27" s="64"/>
      <c r="U27" s="49"/>
      <c r="V27" s="64"/>
      <c r="W27" s="64"/>
      <c r="X27" s="64"/>
      <c r="Y27" s="64"/>
      <c r="Z27" s="9"/>
      <c r="AA27" s="64"/>
      <c r="AB27" s="64"/>
      <c r="AC27" s="64"/>
      <c r="AD27" s="9"/>
      <c r="AE27" s="64"/>
      <c r="AF27" s="64"/>
      <c r="AG27" s="49"/>
      <c r="AH27" s="64"/>
      <c r="AI27" s="64"/>
      <c r="AJ27" s="64"/>
      <c r="AK27" s="64"/>
      <c r="AL27" s="9"/>
      <c r="AM27" s="64"/>
      <c r="AN27" s="64"/>
      <c r="AO27" s="49"/>
      <c r="AP27" s="36"/>
      <c r="AQ27" s="36"/>
      <c r="AR27" s="36"/>
      <c r="AS27" s="36"/>
      <c r="AT27" s="65"/>
      <c r="AU27" s="33"/>
      <c r="AV27" s="1"/>
      <c r="AW27" s="1"/>
    </row>
    <row r="28" spans="1:49" x14ac:dyDescent="0.3">
      <c r="A28" s="4"/>
      <c r="B28" s="38"/>
      <c r="C28" s="66"/>
      <c r="D28" s="66"/>
      <c r="E28" s="67"/>
      <c r="F28" s="66"/>
      <c r="G28" s="66"/>
      <c r="H28" s="66"/>
      <c r="I28" s="66"/>
      <c r="J28" s="38"/>
      <c r="K28" s="66"/>
      <c r="L28" s="66"/>
      <c r="M28" s="67"/>
      <c r="N28" s="66"/>
      <c r="O28" s="66"/>
      <c r="P28" s="66"/>
      <c r="Q28" s="66"/>
      <c r="R28" s="38"/>
      <c r="S28" s="66"/>
      <c r="T28" s="66"/>
      <c r="U28" s="67"/>
      <c r="V28" s="66"/>
      <c r="W28" s="66"/>
      <c r="X28" s="66"/>
      <c r="Y28" s="66"/>
      <c r="Z28" s="38"/>
      <c r="AA28" s="66"/>
      <c r="AB28" s="66"/>
      <c r="AC28" s="66"/>
      <c r="AD28" s="38"/>
      <c r="AE28" s="66"/>
      <c r="AF28" s="66"/>
      <c r="AG28" s="67"/>
      <c r="AH28" s="66"/>
      <c r="AI28" s="66"/>
      <c r="AJ28" s="66"/>
      <c r="AK28" s="66"/>
      <c r="AL28" s="38"/>
      <c r="AM28" s="66"/>
      <c r="AN28" s="66"/>
      <c r="AO28" s="67"/>
      <c r="AP28" s="62"/>
      <c r="AQ28" s="62"/>
      <c r="AR28" s="62"/>
      <c r="AS28" s="62"/>
      <c r="AT28" s="31"/>
      <c r="AU28" s="32"/>
      <c r="AV28" s="63"/>
      <c r="AW28" s="63"/>
    </row>
    <row r="29" spans="1:49" x14ac:dyDescent="0.3">
      <c r="A29" s="3"/>
      <c r="B29" s="9"/>
      <c r="C29" s="64"/>
      <c r="D29" s="64"/>
      <c r="E29" s="49"/>
      <c r="F29" s="64"/>
      <c r="G29" s="64"/>
      <c r="H29" s="64"/>
      <c r="I29" s="64"/>
      <c r="J29" s="9"/>
      <c r="K29" s="64"/>
      <c r="L29" s="64"/>
      <c r="M29" s="49"/>
      <c r="N29" s="64"/>
      <c r="O29" s="64"/>
      <c r="P29" s="64"/>
      <c r="Q29" s="64"/>
      <c r="R29" s="9"/>
      <c r="S29" s="64"/>
      <c r="T29" s="64"/>
      <c r="U29" s="49"/>
      <c r="V29" s="64"/>
      <c r="W29" s="64"/>
      <c r="X29" s="64"/>
      <c r="Y29" s="64"/>
      <c r="Z29" s="9"/>
      <c r="AA29" s="64"/>
      <c r="AB29" s="64"/>
      <c r="AC29" s="64"/>
      <c r="AD29" s="9"/>
      <c r="AE29" s="64"/>
      <c r="AF29" s="64"/>
      <c r="AG29" s="49"/>
      <c r="AH29" s="64"/>
      <c r="AI29" s="64"/>
      <c r="AJ29" s="64"/>
      <c r="AK29" s="64"/>
      <c r="AL29" s="9"/>
      <c r="AM29" s="64"/>
      <c r="AN29" s="64"/>
      <c r="AO29" s="49"/>
      <c r="AP29" s="36"/>
      <c r="AQ29" s="36"/>
      <c r="AR29" s="36"/>
      <c r="AS29" s="36"/>
      <c r="AT29" s="65"/>
      <c r="AU29" s="33"/>
      <c r="AV29" s="1"/>
      <c r="AW29" s="1"/>
    </row>
    <row r="30" spans="1:49" x14ac:dyDescent="0.3">
      <c r="A30" s="4"/>
      <c r="B30" s="38"/>
      <c r="C30" s="66"/>
      <c r="D30" s="66"/>
      <c r="E30" s="67"/>
      <c r="F30" s="66"/>
      <c r="G30" s="66"/>
      <c r="H30" s="66"/>
      <c r="I30" s="66"/>
      <c r="J30" s="38"/>
      <c r="K30" s="66"/>
      <c r="L30" s="66"/>
      <c r="M30" s="67"/>
      <c r="N30" s="66"/>
      <c r="O30" s="66"/>
      <c r="P30" s="66"/>
      <c r="Q30" s="66"/>
      <c r="R30" s="38"/>
      <c r="S30" s="66"/>
      <c r="T30" s="66"/>
      <c r="U30" s="67"/>
      <c r="V30" s="66"/>
      <c r="W30" s="66"/>
      <c r="X30" s="66"/>
      <c r="Y30" s="66"/>
      <c r="Z30" s="38"/>
      <c r="AA30" s="66"/>
      <c r="AB30" s="66"/>
      <c r="AC30" s="66"/>
      <c r="AD30" s="38"/>
      <c r="AE30" s="66"/>
      <c r="AF30" s="66"/>
      <c r="AG30" s="67"/>
      <c r="AH30" s="66"/>
      <c r="AI30" s="66"/>
      <c r="AJ30" s="66"/>
      <c r="AK30" s="66"/>
      <c r="AL30" s="38"/>
      <c r="AM30" s="66"/>
      <c r="AN30" s="66"/>
      <c r="AO30" s="67"/>
      <c r="AP30" s="62"/>
      <c r="AQ30" s="62"/>
      <c r="AR30" s="62"/>
      <c r="AS30" s="62"/>
      <c r="AT30" s="31"/>
      <c r="AU30" s="32"/>
      <c r="AV30" s="63"/>
      <c r="AW30" s="63"/>
    </row>
    <row r="31" spans="1:49" x14ac:dyDescent="0.3">
      <c r="A31" s="3"/>
      <c r="B31" s="9"/>
      <c r="C31" s="64"/>
      <c r="D31" s="64"/>
      <c r="E31" s="49"/>
      <c r="F31" s="64"/>
      <c r="G31" s="64"/>
      <c r="H31" s="64"/>
      <c r="I31" s="64"/>
      <c r="J31" s="9"/>
      <c r="K31" s="64"/>
      <c r="L31" s="64"/>
      <c r="M31" s="49"/>
      <c r="N31" s="64"/>
      <c r="O31" s="64"/>
      <c r="P31" s="64"/>
      <c r="Q31" s="64"/>
      <c r="R31" s="9"/>
      <c r="S31" s="64"/>
      <c r="T31" s="64"/>
      <c r="U31" s="49"/>
      <c r="V31" s="64"/>
      <c r="W31" s="64"/>
      <c r="X31" s="64"/>
      <c r="Y31" s="64"/>
      <c r="Z31" s="9"/>
      <c r="AA31" s="64"/>
      <c r="AB31" s="64"/>
      <c r="AC31" s="64"/>
      <c r="AD31" s="9"/>
      <c r="AE31" s="64"/>
      <c r="AF31" s="64"/>
      <c r="AG31" s="49"/>
      <c r="AH31" s="64"/>
      <c r="AI31" s="64"/>
      <c r="AJ31" s="64"/>
      <c r="AK31" s="64"/>
      <c r="AL31" s="9"/>
      <c r="AM31" s="64"/>
      <c r="AN31" s="64"/>
      <c r="AO31" s="49"/>
      <c r="AP31" s="36"/>
      <c r="AQ31" s="36"/>
      <c r="AR31" s="36"/>
      <c r="AS31" s="36"/>
      <c r="AT31" s="65"/>
      <c r="AU31" s="33"/>
      <c r="AV31" s="1"/>
      <c r="AW31" s="1"/>
    </row>
    <row r="32" spans="1:49" x14ac:dyDescent="0.3">
      <c r="A32" s="4"/>
      <c r="B32" s="38"/>
      <c r="C32" s="66"/>
      <c r="D32" s="66"/>
      <c r="E32" s="67"/>
      <c r="F32" s="66"/>
      <c r="G32" s="66"/>
      <c r="H32" s="66"/>
      <c r="I32" s="66"/>
      <c r="J32" s="38"/>
      <c r="K32" s="66"/>
      <c r="L32" s="66"/>
      <c r="M32" s="67"/>
      <c r="N32" s="66"/>
      <c r="O32" s="66"/>
      <c r="P32" s="66"/>
      <c r="Q32" s="66"/>
      <c r="R32" s="38"/>
      <c r="S32" s="66"/>
      <c r="T32" s="66"/>
      <c r="U32" s="67"/>
      <c r="V32" s="66"/>
      <c r="W32" s="66"/>
      <c r="X32" s="66"/>
      <c r="Y32" s="66"/>
      <c r="Z32" s="38"/>
      <c r="AA32" s="66"/>
      <c r="AB32" s="66"/>
      <c r="AC32" s="66"/>
      <c r="AD32" s="38"/>
      <c r="AE32" s="66"/>
      <c r="AF32" s="66"/>
      <c r="AG32" s="67"/>
      <c r="AH32" s="66"/>
      <c r="AI32" s="66"/>
      <c r="AJ32" s="66"/>
      <c r="AK32" s="66"/>
      <c r="AL32" s="38"/>
      <c r="AM32" s="66"/>
      <c r="AN32" s="66"/>
      <c r="AO32" s="67"/>
      <c r="AP32" s="62"/>
      <c r="AQ32" s="62"/>
      <c r="AR32" s="62"/>
      <c r="AS32" s="62"/>
      <c r="AT32" s="31"/>
      <c r="AU32" s="32"/>
      <c r="AV32" s="63"/>
      <c r="AW32" s="63"/>
    </row>
    <row r="33" spans="1:49" x14ac:dyDescent="0.3">
      <c r="A33" s="3"/>
      <c r="B33" s="9"/>
      <c r="C33" s="64"/>
      <c r="D33" s="64"/>
      <c r="E33" s="49"/>
      <c r="F33" s="64"/>
      <c r="G33" s="64"/>
      <c r="H33" s="64"/>
      <c r="I33" s="64"/>
      <c r="J33" s="9"/>
      <c r="K33" s="64"/>
      <c r="L33" s="64"/>
      <c r="M33" s="49"/>
      <c r="N33" s="64"/>
      <c r="O33" s="64"/>
      <c r="P33" s="64"/>
      <c r="Q33" s="64"/>
      <c r="R33" s="9"/>
      <c r="S33" s="64"/>
      <c r="T33" s="64"/>
      <c r="U33" s="49"/>
      <c r="V33" s="64"/>
      <c r="W33" s="64"/>
      <c r="X33" s="64"/>
      <c r="Y33" s="64"/>
      <c r="Z33" s="9"/>
      <c r="AA33" s="64"/>
      <c r="AB33" s="64"/>
      <c r="AC33" s="64"/>
      <c r="AD33" s="9"/>
      <c r="AE33" s="64"/>
      <c r="AF33" s="64"/>
      <c r="AG33" s="49"/>
      <c r="AH33" s="64"/>
      <c r="AI33" s="64"/>
      <c r="AJ33" s="64"/>
      <c r="AK33" s="64"/>
      <c r="AL33" s="9"/>
      <c r="AM33" s="64"/>
      <c r="AN33" s="64"/>
      <c r="AO33" s="49"/>
      <c r="AP33" s="36"/>
      <c r="AQ33" s="36"/>
      <c r="AR33" s="36"/>
      <c r="AS33" s="36"/>
      <c r="AT33" s="65"/>
      <c r="AU33" s="33"/>
      <c r="AV33" s="1"/>
      <c r="AW33" s="1"/>
    </row>
    <row r="34" spans="1:49" x14ac:dyDescent="0.3">
      <c r="A34" s="4"/>
      <c r="B34" s="38"/>
      <c r="C34" s="66"/>
      <c r="D34" s="66"/>
      <c r="E34" s="67"/>
      <c r="F34" s="66"/>
      <c r="G34" s="66"/>
      <c r="H34" s="66"/>
      <c r="I34" s="66"/>
      <c r="J34" s="38"/>
      <c r="K34" s="66"/>
      <c r="L34" s="66"/>
      <c r="M34" s="67"/>
      <c r="N34" s="66"/>
      <c r="O34" s="66"/>
      <c r="P34" s="66"/>
      <c r="Q34" s="66"/>
      <c r="R34" s="38"/>
      <c r="S34" s="66"/>
      <c r="T34" s="66"/>
      <c r="U34" s="67"/>
      <c r="V34" s="66"/>
      <c r="W34" s="66"/>
      <c r="X34" s="66"/>
      <c r="Y34" s="66"/>
      <c r="Z34" s="38"/>
      <c r="AA34" s="66"/>
      <c r="AB34" s="66"/>
      <c r="AC34" s="66"/>
      <c r="AD34" s="38"/>
      <c r="AE34" s="66"/>
      <c r="AF34" s="66"/>
      <c r="AG34" s="67"/>
      <c r="AH34" s="66"/>
      <c r="AI34" s="66"/>
      <c r="AJ34" s="66"/>
      <c r="AK34" s="66"/>
      <c r="AL34" s="38"/>
      <c r="AM34" s="66"/>
      <c r="AN34" s="66"/>
      <c r="AO34" s="67"/>
      <c r="AP34" s="62"/>
      <c r="AQ34" s="62"/>
      <c r="AR34" s="62"/>
      <c r="AS34" s="62"/>
      <c r="AT34" s="31"/>
      <c r="AU34" s="32"/>
      <c r="AV34" s="63"/>
      <c r="AW34" s="63"/>
    </row>
    <row r="35" spans="1:49" x14ac:dyDescent="0.3">
      <c r="A35" s="3"/>
      <c r="B35" s="9"/>
      <c r="C35" s="64"/>
      <c r="D35" s="64"/>
      <c r="E35" s="49"/>
      <c r="F35" s="64"/>
      <c r="G35" s="64"/>
      <c r="H35" s="64"/>
      <c r="I35" s="64"/>
      <c r="J35" s="9"/>
      <c r="K35" s="64"/>
      <c r="L35" s="64"/>
      <c r="M35" s="49"/>
      <c r="N35" s="64"/>
      <c r="O35" s="64"/>
      <c r="P35" s="64"/>
      <c r="Q35" s="64"/>
      <c r="R35" s="9"/>
      <c r="S35" s="64"/>
      <c r="T35" s="64"/>
      <c r="U35" s="49"/>
      <c r="V35" s="64"/>
      <c r="W35" s="64"/>
      <c r="X35" s="64"/>
      <c r="Y35" s="64"/>
      <c r="Z35" s="9"/>
      <c r="AA35" s="64"/>
      <c r="AB35" s="64"/>
      <c r="AC35" s="64"/>
      <c r="AD35" s="9"/>
      <c r="AE35" s="64"/>
      <c r="AF35" s="64"/>
      <c r="AG35" s="49"/>
      <c r="AH35" s="64"/>
      <c r="AI35" s="64"/>
      <c r="AJ35" s="64"/>
      <c r="AK35" s="64"/>
      <c r="AL35" s="9"/>
      <c r="AM35" s="64"/>
      <c r="AN35" s="64"/>
      <c r="AO35" s="49"/>
      <c r="AP35" s="36"/>
      <c r="AQ35" s="36"/>
      <c r="AR35" s="36"/>
      <c r="AS35" s="36"/>
      <c r="AT35" s="65"/>
      <c r="AU35" s="33"/>
      <c r="AV35" s="1"/>
      <c r="AW35" s="1"/>
    </row>
    <row r="36" spans="1:49" x14ac:dyDescent="0.3">
      <c r="A36" s="4"/>
      <c r="B36" s="38"/>
      <c r="C36" s="66"/>
      <c r="D36" s="66"/>
      <c r="E36" s="67"/>
      <c r="F36" s="66"/>
      <c r="G36" s="66"/>
      <c r="H36" s="66"/>
      <c r="I36" s="66"/>
      <c r="J36" s="38"/>
      <c r="K36" s="66"/>
      <c r="L36" s="66"/>
      <c r="M36" s="67"/>
      <c r="N36" s="66"/>
      <c r="O36" s="66"/>
      <c r="P36" s="66"/>
      <c r="Q36" s="66"/>
      <c r="R36" s="38"/>
      <c r="S36" s="66"/>
      <c r="T36" s="66"/>
      <c r="U36" s="67"/>
      <c r="V36" s="66"/>
      <c r="W36" s="66"/>
      <c r="X36" s="66"/>
      <c r="Y36" s="66"/>
      <c r="Z36" s="38"/>
      <c r="AA36" s="66"/>
      <c r="AB36" s="66"/>
      <c r="AC36" s="66"/>
      <c r="AD36" s="38"/>
      <c r="AE36" s="66"/>
      <c r="AF36" s="66"/>
      <c r="AG36" s="67"/>
      <c r="AH36" s="66"/>
      <c r="AI36" s="66"/>
      <c r="AJ36" s="66"/>
      <c r="AK36" s="66"/>
      <c r="AL36" s="38"/>
      <c r="AM36" s="66"/>
      <c r="AN36" s="66"/>
      <c r="AO36" s="67"/>
      <c r="AP36" s="62"/>
      <c r="AQ36" s="62"/>
      <c r="AR36" s="62"/>
      <c r="AS36" s="62"/>
      <c r="AT36" s="31"/>
      <c r="AU36" s="32"/>
      <c r="AV36" s="63"/>
      <c r="AW36" s="63"/>
    </row>
    <row r="37" spans="1:49" x14ac:dyDescent="0.3">
      <c r="A37" s="3"/>
      <c r="B37" s="9"/>
      <c r="C37" s="64"/>
      <c r="D37" s="64"/>
      <c r="E37" s="49"/>
      <c r="F37" s="64"/>
      <c r="G37" s="64"/>
      <c r="H37" s="64"/>
      <c r="I37" s="64"/>
      <c r="J37" s="9"/>
      <c r="K37" s="64"/>
      <c r="L37" s="64"/>
      <c r="M37" s="49"/>
      <c r="N37" s="64"/>
      <c r="O37" s="64"/>
      <c r="P37" s="64"/>
      <c r="Q37" s="64"/>
      <c r="R37" s="9"/>
      <c r="S37" s="64"/>
      <c r="T37" s="64"/>
      <c r="U37" s="49"/>
      <c r="V37" s="64"/>
      <c r="W37" s="64"/>
      <c r="X37" s="64"/>
      <c r="Y37" s="64"/>
      <c r="Z37" s="9"/>
      <c r="AA37" s="64"/>
      <c r="AB37" s="64"/>
      <c r="AC37" s="64"/>
      <c r="AD37" s="9"/>
      <c r="AE37" s="64"/>
      <c r="AF37" s="64"/>
      <c r="AG37" s="49"/>
      <c r="AH37" s="64"/>
      <c r="AI37" s="64"/>
      <c r="AJ37" s="64"/>
      <c r="AK37" s="64"/>
      <c r="AL37" s="9"/>
      <c r="AM37" s="64"/>
      <c r="AN37" s="64"/>
      <c r="AO37" s="49"/>
      <c r="AP37" s="36"/>
      <c r="AQ37" s="36"/>
      <c r="AR37" s="36"/>
      <c r="AS37" s="36"/>
      <c r="AT37" s="65"/>
      <c r="AU37" s="33"/>
      <c r="AV37" s="1"/>
      <c r="AW37" s="1"/>
    </row>
    <row r="38" spans="1:49" x14ac:dyDescent="0.3">
      <c r="A38" s="4"/>
      <c r="B38" s="38"/>
      <c r="C38" s="66"/>
      <c r="D38" s="66"/>
      <c r="E38" s="67"/>
      <c r="F38" s="66"/>
      <c r="G38" s="66"/>
      <c r="H38" s="66"/>
      <c r="I38" s="66"/>
      <c r="J38" s="38"/>
      <c r="K38" s="66"/>
      <c r="L38" s="66"/>
      <c r="M38" s="67"/>
      <c r="N38" s="66"/>
      <c r="O38" s="66"/>
      <c r="P38" s="66"/>
      <c r="Q38" s="66"/>
      <c r="R38" s="38"/>
      <c r="S38" s="66"/>
      <c r="T38" s="66"/>
      <c r="U38" s="67"/>
      <c r="V38" s="66"/>
      <c r="W38" s="66"/>
      <c r="X38" s="66"/>
      <c r="Y38" s="66"/>
      <c r="Z38" s="38"/>
      <c r="AA38" s="66"/>
      <c r="AB38" s="66"/>
      <c r="AC38" s="66"/>
      <c r="AD38" s="38"/>
      <c r="AE38" s="66"/>
      <c r="AF38" s="66"/>
      <c r="AG38" s="67"/>
      <c r="AH38" s="66"/>
      <c r="AI38" s="66"/>
      <c r="AJ38" s="66"/>
      <c r="AK38" s="66"/>
      <c r="AL38" s="38"/>
      <c r="AM38" s="66"/>
      <c r="AN38" s="66"/>
      <c r="AO38" s="67"/>
      <c r="AP38" s="62"/>
      <c r="AQ38" s="62"/>
      <c r="AR38" s="62"/>
      <c r="AS38" s="62"/>
      <c r="AT38" s="31"/>
      <c r="AU38" s="32"/>
      <c r="AV38" s="63"/>
      <c r="AW38" s="63"/>
    </row>
    <row r="39" spans="1:49" x14ac:dyDescent="0.3">
      <c r="A39" s="3"/>
      <c r="B39" s="9"/>
      <c r="C39" s="64"/>
      <c r="D39" s="64"/>
      <c r="E39" s="49"/>
      <c r="F39" s="64"/>
      <c r="G39" s="64"/>
      <c r="H39" s="64"/>
      <c r="I39" s="64"/>
      <c r="J39" s="9"/>
      <c r="K39" s="64"/>
      <c r="L39" s="64"/>
      <c r="M39" s="49"/>
      <c r="N39" s="64"/>
      <c r="O39" s="64"/>
      <c r="P39" s="64"/>
      <c r="Q39" s="64"/>
      <c r="R39" s="9"/>
      <c r="S39" s="64"/>
      <c r="T39" s="64"/>
      <c r="U39" s="49"/>
      <c r="V39" s="64"/>
      <c r="W39" s="64"/>
      <c r="X39" s="64"/>
      <c r="Y39" s="64"/>
      <c r="Z39" s="9"/>
      <c r="AA39" s="64"/>
      <c r="AB39" s="64"/>
      <c r="AC39" s="64"/>
      <c r="AD39" s="9"/>
      <c r="AE39" s="64"/>
      <c r="AF39" s="64"/>
      <c r="AG39" s="49"/>
      <c r="AH39" s="64"/>
      <c r="AI39" s="64"/>
      <c r="AJ39" s="64"/>
      <c r="AK39" s="64"/>
      <c r="AL39" s="9"/>
      <c r="AM39" s="64"/>
      <c r="AN39" s="64"/>
      <c r="AO39" s="49"/>
      <c r="AP39" s="36"/>
      <c r="AQ39" s="36"/>
      <c r="AR39" s="36"/>
      <c r="AS39" s="36"/>
      <c r="AT39" s="65"/>
      <c r="AU39" s="33"/>
      <c r="AV39" s="1"/>
      <c r="AW39" s="1"/>
    </row>
    <row r="40" spans="1:49" x14ac:dyDescent="0.3">
      <c r="A40" s="4"/>
      <c r="B40" s="38"/>
      <c r="C40" s="66"/>
      <c r="D40" s="66"/>
      <c r="E40" s="67"/>
      <c r="F40" s="66"/>
      <c r="G40" s="66"/>
      <c r="H40" s="66"/>
      <c r="I40" s="66"/>
      <c r="J40" s="38"/>
      <c r="K40" s="66"/>
      <c r="L40" s="66"/>
      <c r="M40" s="67"/>
      <c r="N40" s="66"/>
      <c r="O40" s="66"/>
      <c r="P40" s="66"/>
      <c r="Q40" s="66"/>
      <c r="R40" s="38"/>
      <c r="S40" s="66"/>
      <c r="T40" s="66"/>
      <c r="U40" s="67"/>
      <c r="V40" s="66"/>
      <c r="W40" s="66"/>
      <c r="X40" s="66"/>
      <c r="Y40" s="66"/>
      <c r="Z40" s="38"/>
      <c r="AA40" s="66"/>
      <c r="AB40" s="66"/>
      <c r="AC40" s="66"/>
      <c r="AD40" s="38"/>
      <c r="AE40" s="66"/>
      <c r="AF40" s="66"/>
      <c r="AG40" s="67"/>
      <c r="AH40" s="66"/>
      <c r="AI40" s="66"/>
      <c r="AJ40" s="66"/>
      <c r="AK40" s="66"/>
      <c r="AL40" s="38"/>
      <c r="AM40" s="66"/>
      <c r="AN40" s="66"/>
      <c r="AO40" s="67"/>
      <c r="AP40" s="62"/>
      <c r="AQ40" s="62"/>
      <c r="AR40" s="62"/>
      <c r="AS40" s="62"/>
      <c r="AT40" s="31"/>
      <c r="AU40" s="32"/>
      <c r="AV40" s="63"/>
      <c r="AW40" s="63"/>
    </row>
    <row r="41" spans="1:49" x14ac:dyDescent="0.3">
      <c r="A41" s="3"/>
      <c r="B41" s="9"/>
      <c r="C41" s="64"/>
      <c r="D41" s="64"/>
      <c r="E41" s="49"/>
      <c r="F41" s="64"/>
      <c r="G41" s="64"/>
      <c r="H41" s="64"/>
      <c r="I41" s="64"/>
      <c r="J41" s="9"/>
      <c r="K41" s="64"/>
      <c r="L41" s="64"/>
      <c r="M41" s="49"/>
      <c r="N41" s="64"/>
      <c r="O41" s="64"/>
      <c r="P41" s="64"/>
      <c r="Q41" s="64"/>
      <c r="R41" s="9"/>
      <c r="S41" s="64"/>
      <c r="T41" s="64"/>
      <c r="U41" s="49"/>
      <c r="V41" s="64"/>
      <c r="W41" s="64"/>
      <c r="X41" s="64"/>
      <c r="Y41" s="64"/>
      <c r="Z41" s="9"/>
      <c r="AA41" s="64"/>
      <c r="AB41" s="64"/>
      <c r="AC41" s="64"/>
      <c r="AD41" s="9"/>
      <c r="AE41" s="64"/>
      <c r="AF41" s="64"/>
      <c r="AG41" s="49"/>
      <c r="AH41" s="64"/>
      <c r="AI41" s="64"/>
      <c r="AJ41" s="64"/>
      <c r="AK41" s="64"/>
      <c r="AL41" s="9"/>
      <c r="AM41" s="64"/>
      <c r="AN41" s="64"/>
      <c r="AO41" s="49"/>
      <c r="AP41" s="36"/>
      <c r="AQ41" s="36"/>
      <c r="AR41" s="36"/>
      <c r="AS41" s="36"/>
      <c r="AT41" s="65"/>
      <c r="AU41" s="33"/>
      <c r="AV41" s="1"/>
      <c r="AW41" s="1"/>
    </row>
    <row r="42" spans="1:49" x14ac:dyDescent="0.3">
      <c r="A42" s="4"/>
      <c r="B42" s="38"/>
      <c r="C42" s="66"/>
      <c r="D42" s="66"/>
      <c r="E42" s="67"/>
      <c r="F42" s="66"/>
      <c r="G42" s="66"/>
      <c r="H42" s="66"/>
      <c r="I42" s="66"/>
      <c r="J42" s="38"/>
      <c r="K42" s="66"/>
      <c r="L42" s="66"/>
      <c r="M42" s="67"/>
      <c r="N42" s="66"/>
      <c r="O42" s="66"/>
      <c r="P42" s="66"/>
      <c r="Q42" s="66"/>
      <c r="R42" s="38"/>
      <c r="S42" s="66"/>
      <c r="T42" s="66"/>
      <c r="U42" s="67"/>
      <c r="V42" s="66"/>
      <c r="W42" s="66"/>
      <c r="X42" s="66"/>
      <c r="Y42" s="66"/>
      <c r="Z42" s="38"/>
      <c r="AA42" s="66"/>
      <c r="AB42" s="66"/>
      <c r="AC42" s="66"/>
      <c r="AD42" s="38"/>
      <c r="AE42" s="66"/>
      <c r="AF42" s="66"/>
      <c r="AG42" s="67"/>
      <c r="AH42" s="66"/>
      <c r="AI42" s="66"/>
      <c r="AJ42" s="66"/>
      <c r="AK42" s="66"/>
      <c r="AL42" s="38"/>
      <c r="AM42" s="66"/>
      <c r="AN42" s="66"/>
      <c r="AO42" s="67"/>
      <c r="AP42" s="62"/>
      <c r="AQ42" s="62"/>
      <c r="AR42" s="62"/>
      <c r="AS42" s="62"/>
      <c r="AT42" s="31"/>
      <c r="AU42" s="32"/>
      <c r="AV42" s="63"/>
      <c r="AW42" s="63"/>
    </row>
    <row r="43" spans="1:49" x14ac:dyDescent="0.3">
      <c r="A43" s="37"/>
      <c r="B43" s="68"/>
      <c r="C43" s="36"/>
      <c r="D43" s="36"/>
      <c r="E43" s="69"/>
      <c r="F43" s="36"/>
      <c r="G43" s="36"/>
      <c r="H43" s="36"/>
      <c r="I43" s="36"/>
      <c r="J43" s="68"/>
      <c r="K43" s="36"/>
      <c r="L43" s="36"/>
      <c r="M43" s="69"/>
      <c r="N43" s="36"/>
      <c r="O43" s="36"/>
      <c r="P43" s="36"/>
      <c r="Q43" s="36"/>
      <c r="R43" s="68"/>
      <c r="S43" s="36"/>
      <c r="T43" s="36"/>
      <c r="U43" s="69"/>
      <c r="V43" s="36"/>
      <c r="W43" s="36"/>
      <c r="X43" s="36"/>
      <c r="Y43" s="36"/>
      <c r="Z43" s="68"/>
      <c r="AA43" s="36"/>
      <c r="AB43" s="36"/>
      <c r="AC43" s="36"/>
      <c r="AD43" s="68"/>
      <c r="AE43" s="36"/>
      <c r="AF43" s="36"/>
      <c r="AG43" s="69"/>
      <c r="AH43" s="36"/>
      <c r="AI43" s="36"/>
      <c r="AJ43" s="36"/>
      <c r="AK43" s="36"/>
      <c r="AL43" s="9"/>
      <c r="AM43" s="64"/>
      <c r="AN43" s="64"/>
      <c r="AO43" s="49"/>
      <c r="AP43" s="36"/>
      <c r="AQ43" s="36"/>
      <c r="AR43" s="36"/>
      <c r="AS43" s="36"/>
      <c r="AT43" s="65"/>
      <c r="AU43" s="33"/>
      <c r="AV43" s="1"/>
      <c r="AW43" s="1"/>
    </row>
    <row r="44" spans="1:49" x14ac:dyDescent="0.3">
      <c r="A44" s="38"/>
      <c r="B44" s="38"/>
      <c r="C44" s="66"/>
      <c r="D44" s="66"/>
      <c r="E44" s="66"/>
      <c r="F44" s="38"/>
      <c r="G44" s="66"/>
      <c r="H44" s="66"/>
      <c r="I44" s="67"/>
      <c r="J44" s="66"/>
      <c r="K44" s="66"/>
      <c r="L44" s="66"/>
      <c r="M44" s="66"/>
      <c r="N44" s="38"/>
      <c r="O44" s="66"/>
      <c r="P44" s="66"/>
      <c r="Q44" s="67"/>
      <c r="R44" s="66"/>
      <c r="S44" s="66"/>
      <c r="T44" s="66"/>
      <c r="U44" s="67"/>
      <c r="V44" s="38"/>
      <c r="W44" s="66"/>
      <c r="X44" s="66"/>
      <c r="Y44" s="66"/>
      <c r="Z44" s="38"/>
      <c r="AA44" s="66"/>
      <c r="AB44" s="66"/>
      <c r="AC44" s="66"/>
      <c r="AD44" s="38"/>
      <c r="AE44" s="66"/>
      <c r="AF44" s="66"/>
      <c r="AG44" s="67"/>
      <c r="AH44" s="66"/>
      <c r="AI44" s="66"/>
      <c r="AJ44" s="66"/>
      <c r="AK44" s="66"/>
      <c r="AL44" s="38"/>
      <c r="AM44" s="66"/>
      <c r="AN44" s="66"/>
      <c r="AO44" s="67"/>
      <c r="AP44" s="62"/>
      <c r="AQ44" s="62"/>
      <c r="AR44" s="62"/>
      <c r="AS44" s="62"/>
      <c r="AT44" s="31"/>
      <c r="AU44" s="32"/>
      <c r="AV44" s="63"/>
      <c r="AW44" s="63"/>
    </row>
    <row r="45" spans="1:49" x14ac:dyDescent="0.3">
      <c r="A45" s="9"/>
      <c r="B45" s="9"/>
      <c r="C45" s="64"/>
      <c r="D45" s="64"/>
      <c r="E45" s="64"/>
      <c r="F45" s="9"/>
      <c r="G45" s="64"/>
      <c r="H45" s="64"/>
      <c r="I45" s="49"/>
      <c r="J45" s="64"/>
      <c r="K45" s="64"/>
      <c r="L45" s="64"/>
      <c r="M45" s="64"/>
      <c r="N45" s="9"/>
      <c r="O45" s="64"/>
      <c r="P45" s="64"/>
      <c r="Q45" s="49"/>
      <c r="R45" s="64"/>
      <c r="S45" s="64"/>
      <c r="T45" s="64"/>
      <c r="U45" s="49"/>
      <c r="V45" s="9"/>
      <c r="W45" s="64"/>
      <c r="X45" s="64"/>
      <c r="Y45" s="64"/>
      <c r="Z45" s="9"/>
      <c r="AA45" s="64"/>
      <c r="AB45" s="64"/>
      <c r="AC45" s="64"/>
      <c r="AD45" s="9"/>
      <c r="AE45" s="64"/>
      <c r="AF45" s="64"/>
      <c r="AG45" s="49"/>
      <c r="AH45" s="64"/>
      <c r="AI45" s="64"/>
      <c r="AJ45" s="64"/>
      <c r="AK45" s="64"/>
      <c r="AL45" s="9"/>
      <c r="AM45" s="64"/>
      <c r="AN45" s="64"/>
      <c r="AO45" s="49"/>
      <c r="AP45" s="36"/>
      <c r="AQ45" s="36"/>
      <c r="AR45" s="36"/>
      <c r="AS45" s="36"/>
      <c r="AT45" s="65"/>
      <c r="AU45" s="33"/>
      <c r="AV45" s="1"/>
      <c r="AW45" s="1"/>
    </row>
    <row r="46" spans="1:49" x14ac:dyDescent="0.3">
      <c r="A46" s="38"/>
      <c r="B46" s="38"/>
      <c r="C46" s="66"/>
      <c r="D46" s="66"/>
      <c r="E46" s="66"/>
      <c r="F46" s="38"/>
      <c r="G46" s="66"/>
      <c r="H46" s="66"/>
      <c r="I46" s="67"/>
      <c r="J46" s="66"/>
      <c r="K46" s="66"/>
      <c r="L46" s="66"/>
      <c r="M46" s="66"/>
      <c r="N46" s="38"/>
      <c r="O46" s="66"/>
      <c r="P46" s="66"/>
      <c r="Q46" s="67"/>
      <c r="R46" s="66"/>
      <c r="S46" s="66"/>
      <c r="T46" s="66"/>
      <c r="U46" s="67"/>
      <c r="V46" s="38"/>
      <c r="W46" s="66"/>
      <c r="X46" s="66"/>
      <c r="Y46" s="66"/>
      <c r="Z46" s="38"/>
      <c r="AA46" s="66"/>
      <c r="AB46" s="66"/>
      <c r="AC46" s="66"/>
      <c r="AD46" s="38"/>
      <c r="AE46" s="66"/>
      <c r="AF46" s="66"/>
      <c r="AG46" s="67"/>
      <c r="AH46" s="66"/>
      <c r="AI46" s="66"/>
      <c r="AJ46" s="66"/>
      <c r="AK46" s="66"/>
      <c r="AL46" s="38"/>
      <c r="AM46" s="66"/>
      <c r="AN46" s="66"/>
      <c r="AO46" s="67"/>
      <c r="AP46" s="62"/>
      <c r="AQ46" s="62"/>
      <c r="AR46" s="62"/>
      <c r="AS46" s="62"/>
      <c r="AT46" s="31"/>
      <c r="AU46" s="32"/>
      <c r="AV46" s="63"/>
      <c r="AW46" s="63"/>
    </row>
    <row r="47" spans="1:49" x14ac:dyDescent="0.3">
      <c r="A47" s="9"/>
      <c r="B47" s="9"/>
      <c r="C47" s="64"/>
      <c r="D47" s="64"/>
      <c r="E47" s="64"/>
      <c r="F47" s="9"/>
      <c r="G47" s="64"/>
      <c r="H47" s="64"/>
      <c r="I47" s="49"/>
      <c r="J47" s="64"/>
      <c r="K47" s="64"/>
      <c r="L47" s="64"/>
      <c r="M47" s="64"/>
      <c r="N47" s="9"/>
      <c r="O47" s="64"/>
      <c r="P47" s="64"/>
      <c r="Q47" s="49"/>
      <c r="R47" s="64"/>
      <c r="S47" s="64"/>
      <c r="T47" s="64"/>
      <c r="U47" s="49"/>
      <c r="V47" s="9"/>
      <c r="W47" s="64"/>
      <c r="X47" s="64"/>
      <c r="Y47" s="64"/>
      <c r="Z47" s="9"/>
      <c r="AA47" s="64"/>
      <c r="AB47" s="64"/>
      <c r="AC47" s="64"/>
      <c r="AD47" s="9"/>
      <c r="AE47" s="64"/>
      <c r="AF47" s="64"/>
      <c r="AG47" s="49"/>
      <c r="AH47" s="64"/>
      <c r="AI47" s="64"/>
      <c r="AJ47" s="64"/>
      <c r="AK47" s="64"/>
      <c r="AL47" s="9"/>
      <c r="AM47" s="64"/>
      <c r="AN47" s="64"/>
      <c r="AO47" s="49"/>
      <c r="AP47" s="36"/>
      <c r="AQ47" s="36"/>
      <c r="AR47" s="36"/>
      <c r="AS47" s="36"/>
      <c r="AT47" s="65"/>
      <c r="AU47" s="33"/>
      <c r="AV47" s="1"/>
      <c r="AW47" s="1"/>
    </row>
    <row r="48" spans="1:49" x14ac:dyDescent="0.3">
      <c r="A48" s="38"/>
      <c r="B48" s="38"/>
      <c r="C48" s="66"/>
      <c r="D48" s="66"/>
      <c r="E48" s="66"/>
      <c r="F48" s="38"/>
      <c r="G48" s="66"/>
      <c r="H48" s="66"/>
      <c r="I48" s="67"/>
      <c r="J48" s="66"/>
      <c r="K48" s="66"/>
      <c r="L48" s="66"/>
      <c r="M48" s="66"/>
      <c r="N48" s="38"/>
      <c r="O48" s="66"/>
      <c r="P48" s="66"/>
      <c r="Q48" s="67"/>
      <c r="R48" s="66"/>
      <c r="S48" s="66"/>
      <c r="T48" s="66"/>
      <c r="U48" s="67"/>
      <c r="V48" s="38"/>
      <c r="W48" s="66"/>
      <c r="X48" s="66"/>
      <c r="Y48" s="66"/>
      <c r="Z48" s="38"/>
      <c r="AA48" s="66"/>
      <c r="AB48" s="66"/>
      <c r="AC48" s="66"/>
      <c r="AD48" s="38"/>
      <c r="AE48" s="66"/>
      <c r="AF48" s="66"/>
      <c r="AG48" s="67"/>
      <c r="AH48" s="66"/>
      <c r="AI48" s="66"/>
      <c r="AJ48" s="66"/>
      <c r="AK48" s="66"/>
      <c r="AL48" s="38"/>
      <c r="AM48" s="66"/>
      <c r="AN48" s="66"/>
      <c r="AO48" s="67"/>
      <c r="AP48" s="62"/>
      <c r="AQ48" s="62"/>
      <c r="AR48" s="62"/>
      <c r="AS48" s="62"/>
      <c r="AT48" s="31"/>
      <c r="AU48" s="32"/>
      <c r="AV48" s="63"/>
      <c r="AW48" s="63"/>
    </row>
    <row r="49" spans="1:49" x14ac:dyDescent="0.3">
      <c r="A49" s="9"/>
      <c r="B49" s="9"/>
      <c r="C49" s="64"/>
      <c r="D49" s="64"/>
      <c r="E49" s="64"/>
      <c r="F49" s="9"/>
      <c r="G49" s="64"/>
      <c r="H49" s="64"/>
      <c r="I49" s="49"/>
      <c r="J49" s="64"/>
      <c r="K49" s="64"/>
      <c r="L49" s="64"/>
      <c r="M49" s="64"/>
      <c r="N49" s="9"/>
      <c r="O49" s="64"/>
      <c r="P49" s="64"/>
      <c r="Q49" s="49"/>
      <c r="R49" s="64"/>
      <c r="S49" s="64"/>
      <c r="T49" s="64"/>
      <c r="U49" s="49"/>
      <c r="V49" s="9"/>
      <c r="W49" s="64"/>
      <c r="X49" s="64"/>
      <c r="Y49" s="64"/>
      <c r="Z49" s="9"/>
      <c r="AA49" s="64"/>
      <c r="AB49" s="64"/>
      <c r="AC49" s="64"/>
      <c r="AD49" s="9"/>
      <c r="AE49" s="64"/>
      <c r="AF49" s="64"/>
      <c r="AG49" s="49"/>
      <c r="AH49" s="64"/>
      <c r="AI49" s="64"/>
      <c r="AJ49" s="64"/>
      <c r="AK49" s="64"/>
      <c r="AL49" s="9"/>
      <c r="AM49" s="64"/>
      <c r="AN49" s="64"/>
      <c r="AO49" s="49"/>
      <c r="AP49" s="36"/>
      <c r="AQ49" s="36"/>
      <c r="AR49" s="36"/>
      <c r="AS49" s="36"/>
      <c r="AT49" s="65"/>
      <c r="AU49" s="33"/>
      <c r="AV49" s="1"/>
      <c r="AW49" s="1"/>
    </row>
    <row r="50" spans="1:49" ht="21" thickBot="1" x14ac:dyDescent="0.35">
      <c r="A50" s="39"/>
      <c r="B50" s="39"/>
      <c r="C50" s="70"/>
      <c r="D50" s="70"/>
      <c r="E50" s="70"/>
      <c r="F50" s="39"/>
      <c r="G50" s="70"/>
      <c r="H50" s="70"/>
      <c r="I50" s="71"/>
      <c r="J50" s="70"/>
      <c r="K50" s="70"/>
      <c r="L50" s="70"/>
      <c r="M50" s="70"/>
      <c r="N50" s="39"/>
      <c r="O50" s="70"/>
      <c r="P50" s="70"/>
      <c r="Q50" s="71"/>
      <c r="R50" s="70"/>
      <c r="S50" s="70"/>
      <c r="T50" s="70"/>
      <c r="U50" s="71"/>
      <c r="V50" s="39"/>
      <c r="W50" s="70"/>
      <c r="X50" s="70"/>
      <c r="Y50" s="70"/>
      <c r="Z50" s="39"/>
      <c r="AA50" s="70"/>
      <c r="AB50" s="70"/>
      <c r="AC50" s="70"/>
      <c r="AD50" s="39"/>
      <c r="AE50" s="70"/>
      <c r="AF50" s="70"/>
      <c r="AG50" s="71"/>
      <c r="AH50" s="70"/>
      <c r="AI50" s="70"/>
      <c r="AJ50" s="70"/>
      <c r="AK50" s="70"/>
      <c r="AL50" s="39"/>
      <c r="AM50" s="70"/>
      <c r="AN50" s="70"/>
      <c r="AO50" s="71"/>
      <c r="AP50" s="62"/>
      <c r="AQ50" s="62"/>
      <c r="AR50" s="62"/>
      <c r="AS50" s="62"/>
      <c r="AT50" s="31"/>
      <c r="AU50" s="32"/>
      <c r="AV50" s="63"/>
      <c r="AW50" s="63"/>
    </row>
  </sheetData>
  <sheetProtection formatCells="0" formatColumns="0" formatRows="0" insertColumns="0" insertRows="0" insertHyperlinks="0" deleteColumns="0" deleteRows="0" sort="0" autoFilter="0" pivotTables="0"/>
  <dataConsolidate/>
  <customSheetViews>
    <customSheetView guid="{EF68B12E-EBBA-2A41-A53D-5D4E56265AE9}" scale="120" hiddenColumns="1" showRuler="0">
      <pane ySplit="3" topLeftCell="A4" activePane="bottomLeft" state="frozen"/>
      <selection pane="bottomLeft" activeCell="E16" sqref="E16"/>
      <pageMargins left="0.7" right="0.7" top="0.75" bottom="0.75" header="0.3" footer="0.3"/>
      <pageSetup paperSize="9" orientation="landscape" r:id="rId1"/>
    </customSheetView>
  </customSheetViews>
  <mergeCells count="12">
    <mergeCell ref="AP2:AV2"/>
    <mergeCell ref="B3:E3"/>
    <mergeCell ref="F3:I3"/>
    <mergeCell ref="J3:M3"/>
    <mergeCell ref="N3:Q3"/>
    <mergeCell ref="R3:U3"/>
    <mergeCell ref="AP3:AS3"/>
    <mergeCell ref="V3:Y3"/>
    <mergeCell ref="Z3:AC3"/>
    <mergeCell ref="AL3:AO3"/>
    <mergeCell ref="AD3:AG3"/>
    <mergeCell ref="AH3:AK3"/>
  </mergeCells>
  <phoneticPr fontId="3"/>
  <conditionalFormatting sqref="A4:AW50">
    <cfRule type="expression" dxfId="8" priority="1">
      <formula>CELL("ROW")=ROW()</formula>
    </cfRule>
  </conditionalFormatting>
  <dataValidations count="1">
    <dataValidation showInputMessage="1" sqref="B4:U50" xr:uid="{F6B0FF6B-B3C5-4743-AAFF-72B125C7EFCE}"/>
  </dataValidation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Button 1">
              <controlPr defaultSize="0" print="0" autoFill="0" autoPict="0" macro="[0]!decision">
                <anchor moveWithCells="1">
                  <from>
                    <xdr:col>11</xdr:col>
                    <xdr:colOff>38100</xdr:colOff>
                    <xdr:row>0</xdr:row>
                    <xdr:rowOff>63500</xdr:rowOff>
                  </from>
                  <to>
                    <xdr:col>13</xdr:col>
                    <xdr:colOff>317500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6" name="Button 2">
              <controlPr defaultSize="0" autoFill="0" autoPict="0" macro="[0]!Confirmation">
                <anchor moveWithCells="1" sizeWithCells="1">
                  <from>
                    <xdr:col>16</xdr:col>
                    <xdr:colOff>342900</xdr:colOff>
                    <xdr:row>0</xdr:row>
                    <xdr:rowOff>101600</xdr:rowOff>
                  </from>
                  <to>
                    <xdr:col>21</xdr:col>
                    <xdr:colOff>241300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xr:uid="{B4A19527-D08D-A148-A699-3BE47B18AE60}">
          <x14:formula1>
            <xm:f>データ!$O$3:$O$5</xm:f>
          </x14:formula1>
          <xm:sqref>V4:AO50</xm:sqref>
        </x14:dataValidation>
        <x14:dataValidation type="list" showInputMessage="1" showErrorMessage="1" xr:uid="{FBEC24D0-60FC-434E-A2AD-B32354F19F74}">
          <x14:formula1>
            <xm:f>データ!$B$3:$B$55</xm:f>
          </x14:formula1>
          <xm:sqref>A4:A50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0839C-04B1-FB4A-A908-4A314D48316B}">
  <sheetPr codeName="Sheet2"/>
  <dimension ref="A2:AW50"/>
  <sheetViews>
    <sheetView showRuler="0" zoomScale="130" zoomScaleNormal="130" zoomScalePageLayoutView="90" workbookViewId="0">
      <pane ySplit="3" topLeftCell="A4" activePane="bottomLeft" state="frozen"/>
      <selection pane="bottomLeft" activeCell="K15" sqref="K15"/>
    </sheetView>
  </sheetViews>
  <sheetFormatPr baseColWidth="10" defaultColWidth="12.85546875" defaultRowHeight="20" x14ac:dyDescent="0.3"/>
  <cols>
    <col min="1" max="1" width="14.140625" style="1" customWidth="1"/>
    <col min="2" max="21" width="3.7109375" customWidth="1"/>
    <col min="22" max="41" width="3.7109375" hidden="1" customWidth="1"/>
    <col min="42" max="45" width="3.7109375" style="16" customWidth="1"/>
    <col min="46" max="46" width="8.7109375" style="29" customWidth="1"/>
    <col min="47" max="47" width="8.7109375" style="30" customWidth="1"/>
    <col min="48" max="48" width="8.7109375" style="6" customWidth="1"/>
    <col min="49" max="49" width="11.140625" style="6" customWidth="1"/>
  </cols>
  <sheetData>
    <row r="2" spans="1:49" ht="21" thickBot="1" x14ac:dyDescent="0.35">
      <c r="B2" s="56"/>
      <c r="C2" s="1" t="s">
        <v>45</v>
      </c>
      <c r="D2" s="56"/>
      <c r="E2" s="1" t="s">
        <v>12</v>
      </c>
      <c r="F2" s="56"/>
      <c r="G2" s="1" t="s">
        <v>13</v>
      </c>
      <c r="I2" s="1" t="s">
        <v>14</v>
      </c>
      <c r="J2" s="56"/>
      <c r="AP2" s="135" t="s">
        <v>31</v>
      </c>
      <c r="AQ2" s="135"/>
      <c r="AR2" s="135"/>
      <c r="AS2" s="135"/>
      <c r="AT2" s="135"/>
      <c r="AU2" s="135"/>
      <c r="AV2" s="135"/>
      <c r="AW2" s="113"/>
    </row>
    <row r="3" spans="1:49" ht="21" thickBot="1" x14ac:dyDescent="0.35">
      <c r="A3" s="114" t="s">
        <v>11</v>
      </c>
      <c r="B3" s="136" t="s">
        <v>38</v>
      </c>
      <c r="C3" s="137"/>
      <c r="D3" s="137"/>
      <c r="E3" s="138"/>
      <c r="F3" s="137" t="s">
        <v>0</v>
      </c>
      <c r="G3" s="137"/>
      <c r="H3" s="137"/>
      <c r="I3" s="137"/>
      <c r="J3" s="136" t="s">
        <v>1</v>
      </c>
      <c r="K3" s="137"/>
      <c r="L3" s="137"/>
      <c r="M3" s="138"/>
      <c r="N3" s="137" t="s">
        <v>2</v>
      </c>
      <c r="O3" s="137"/>
      <c r="P3" s="137"/>
      <c r="Q3" s="137"/>
      <c r="R3" s="136" t="s">
        <v>3</v>
      </c>
      <c r="S3" s="137"/>
      <c r="T3" s="137"/>
      <c r="U3" s="138"/>
      <c r="V3" s="136" t="s">
        <v>46</v>
      </c>
      <c r="W3" s="137"/>
      <c r="X3" s="137"/>
      <c r="Y3" s="137"/>
      <c r="Z3" s="136" t="s">
        <v>47</v>
      </c>
      <c r="AA3" s="137"/>
      <c r="AB3" s="137"/>
      <c r="AC3" s="137"/>
      <c r="AD3" s="136" t="s">
        <v>48</v>
      </c>
      <c r="AE3" s="137"/>
      <c r="AF3" s="137"/>
      <c r="AG3" s="138"/>
      <c r="AH3" s="136" t="s">
        <v>49</v>
      </c>
      <c r="AI3" s="137"/>
      <c r="AJ3" s="137"/>
      <c r="AK3" s="138"/>
      <c r="AL3" s="141" t="s">
        <v>50</v>
      </c>
      <c r="AM3" s="142"/>
      <c r="AN3" s="142"/>
      <c r="AO3" s="143"/>
      <c r="AP3" s="139" t="s">
        <v>22</v>
      </c>
      <c r="AQ3" s="140"/>
      <c r="AR3" s="140"/>
      <c r="AS3" s="140"/>
      <c r="AT3" s="29" t="s">
        <v>39</v>
      </c>
      <c r="AU3" s="30" t="s">
        <v>4</v>
      </c>
      <c r="AV3" s="6" t="s">
        <v>40</v>
      </c>
      <c r="AW3" s="6" t="s">
        <v>41</v>
      </c>
    </row>
    <row r="4" spans="1:49" x14ac:dyDescent="0.3">
      <c r="A4" s="5" t="s">
        <v>130</v>
      </c>
      <c r="B4" s="58" t="s">
        <v>57</v>
      </c>
      <c r="C4" s="59" t="s">
        <v>57</v>
      </c>
      <c r="D4" s="59" t="s">
        <v>57</v>
      </c>
      <c r="E4" s="60" t="s">
        <v>133</v>
      </c>
      <c r="F4" s="59" t="s">
        <v>57</v>
      </c>
      <c r="G4" s="61" t="s">
        <v>57</v>
      </c>
      <c r="H4" s="59" t="s">
        <v>57</v>
      </c>
      <c r="I4" s="59" t="s">
        <v>57</v>
      </c>
      <c r="J4" s="58" t="s">
        <v>57</v>
      </c>
      <c r="K4" s="59" t="s">
        <v>57</v>
      </c>
      <c r="L4" s="59" t="s">
        <v>57</v>
      </c>
      <c r="M4" s="60" t="s">
        <v>57</v>
      </c>
      <c r="N4" s="59" t="s">
        <v>133</v>
      </c>
      <c r="O4" s="59" t="s">
        <v>133</v>
      </c>
      <c r="P4" s="59" t="s">
        <v>133</v>
      </c>
      <c r="Q4" s="59" t="s">
        <v>57</v>
      </c>
      <c r="R4" s="58"/>
      <c r="S4" s="59"/>
      <c r="T4" s="59"/>
      <c r="U4" s="60"/>
      <c r="V4" s="59"/>
      <c r="W4" s="59"/>
      <c r="X4" s="59"/>
      <c r="Y4" s="59"/>
      <c r="Z4" s="58"/>
      <c r="AA4" s="59"/>
      <c r="AB4" s="59"/>
      <c r="AC4" s="59"/>
      <c r="AD4" s="58"/>
      <c r="AE4" s="59"/>
      <c r="AF4" s="59"/>
      <c r="AG4" s="60"/>
      <c r="AH4" s="59"/>
      <c r="AI4" s="59"/>
      <c r="AJ4" s="59"/>
      <c r="AK4" s="59"/>
      <c r="AL4" s="58"/>
      <c r="AM4" s="59"/>
      <c r="AN4" s="59"/>
      <c r="AO4" s="60"/>
      <c r="AP4" s="62">
        <v>3</v>
      </c>
      <c r="AQ4" s="62">
        <v>3</v>
      </c>
      <c r="AR4" s="62">
        <v>3</v>
      </c>
      <c r="AS4" s="62">
        <v>3</v>
      </c>
      <c r="AT4" s="31">
        <v>12</v>
      </c>
      <c r="AU4" s="32">
        <v>0.75</v>
      </c>
      <c r="AV4" s="63">
        <v>4</v>
      </c>
      <c r="AW4" s="63"/>
    </row>
    <row r="5" spans="1:49" x14ac:dyDescent="0.3">
      <c r="A5" s="3" t="s">
        <v>73</v>
      </c>
      <c r="B5" s="9" t="s">
        <v>57</v>
      </c>
      <c r="C5" s="64" t="s">
        <v>57</v>
      </c>
      <c r="D5" s="64" t="s">
        <v>57</v>
      </c>
      <c r="E5" s="49" t="s">
        <v>57</v>
      </c>
      <c r="F5" s="64" t="s">
        <v>57</v>
      </c>
      <c r="G5" s="64" t="s">
        <v>57</v>
      </c>
      <c r="H5" s="64" t="s">
        <v>57</v>
      </c>
      <c r="I5" s="64" t="s">
        <v>133</v>
      </c>
      <c r="J5" s="9" t="s">
        <v>133</v>
      </c>
      <c r="K5" s="64" t="s">
        <v>133</v>
      </c>
      <c r="L5" s="64" t="s">
        <v>133</v>
      </c>
      <c r="M5" s="49" t="s">
        <v>57</v>
      </c>
      <c r="N5" s="64" t="s">
        <v>57</v>
      </c>
      <c r="O5" s="64" t="s">
        <v>57</v>
      </c>
      <c r="P5" s="64" t="s">
        <v>57</v>
      </c>
      <c r="Q5" s="64" t="s">
        <v>133</v>
      </c>
      <c r="R5" s="9"/>
      <c r="S5" s="64"/>
      <c r="T5" s="64"/>
      <c r="U5" s="49"/>
      <c r="V5" s="64"/>
      <c r="W5" s="64"/>
      <c r="X5" s="64"/>
      <c r="Y5" s="64"/>
      <c r="Z5" s="9"/>
      <c r="AA5" s="64"/>
      <c r="AB5" s="64"/>
      <c r="AC5" s="64"/>
      <c r="AD5" s="9"/>
      <c r="AE5" s="64"/>
      <c r="AF5" s="64"/>
      <c r="AG5" s="49"/>
      <c r="AH5" s="64"/>
      <c r="AI5" s="64"/>
      <c r="AJ5" s="64"/>
      <c r="AK5" s="64"/>
      <c r="AL5" s="9"/>
      <c r="AM5" s="64"/>
      <c r="AN5" s="64"/>
      <c r="AO5" s="49"/>
      <c r="AP5" s="36">
        <v>3</v>
      </c>
      <c r="AQ5" s="36">
        <v>3</v>
      </c>
      <c r="AR5" s="36">
        <v>3</v>
      </c>
      <c r="AS5" s="36">
        <v>2</v>
      </c>
      <c r="AT5" s="65">
        <v>11</v>
      </c>
      <c r="AU5" s="33">
        <v>0.6875</v>
      </c>
      <c r="AV5" s="1">
        <v>4</v>
      </c>
      <c r="AW5" s="1"/>
    </row>
    <row r="6" spans="1:49" x14ac:dyDescent="0.3">
      <c r="A6" s="4" t="s">
        <v>83</v>
      </c>
      <c r="B6" s="38"/>
      <c r="C6" s="66"/>
      <c r="D6" s="66"/>
      <c r="E6" s="67"/>
      <c r="F6" s="66" t="s">
        <v>133</v>
      </c>
      <c r="G6" s="66" t="s">
        <v>133</v>
      </c>
      <c r="H6" s="66" t="s">
        <v>133</v>
      </c>
      <c r="I6" s="66" t="s">
        <v>133</v>
      </c>
      <c r="J6" s="38" t="s">
        <v>133</v>
      </c>
      <c r="K6" s="66" t="s">
        <v>133</v>
      </c>
      <c r="L6" s="66" t="s">
        <v>133</v>
      </c>
      <c r="M6" s="67" t="s">
        <v>133</v>
      </c>
      <c r="N6" s="66" t="s">
        <v>133</v>
      </c>
      <c r="O6" s="66" t="s">
        <v>133</v>
      </c>
      <c r="P6" s="66" t="s">
        <v>57</v>
      </c>
      <c r="Q6" s="66" t="s">
        <v>57</v>
      </c>
      <c r="R6" s="38"/>
      <c r="S6" s="66"/>
      <c r="T6" s="66"/>
      <c r="U6" s="67"/>
      <c r="V6" s="66"/>
      <c r="W6" s="66"/>
      <c r="X6" s="66"/>
      <c r="Y6" s="66"/>
      <c r="Z6" s="38"/>
      <c r="AA6" s="66"/>
      <c r="AB6" s="66"/>
      <c r="AC6" s="66"/>
      <c r="AD6" s="38"/>
      <c r="AE6" s="66"/>
      <c r="AF6" s="66"/>
      <c r="AG6" s="67"/>
      <c r="AH6" s="66"/>
      <c r="AI6" s="66"/>
      <c r="AJ6" s="66"/>
      <c r="AK6" s="66"/>
      <c r="AL6" s="38"/>
      <c r="AM6" s="66"/>
      <c r="AN6" s="66"/>
      <c r="AO6" s="67"/>
      <c r="AP6" s="62">
        <v>0</v>
      </c>
      <c r="AQ6" s="62">
        <v>0</v>
      </c>
      <c r="AR6" s="62">
        <v>1</v>
      </c>
      <c r="AS6" s="62">
        <v>1</v>
      </c>
      <c r="AT6" s="31">
        <v>2</v>
      </c>
      <c r="AU6" s="32">
        <v>0.16666666666666666</v>
      </c>
      <c r="AV6" s="63">
        <v>3</v>
      </c>
      <c r="AW6" s="63"/>
    </row>
    <row r="7" spans="1:49" x14ac:dyDescent="0.3">
      <c r="A7" s="3" t="s">
        <v>90</v>
      </c>
      <c r="B7" s="9"/>
      <c r="C7" s="64"/>
      <c r="D7" s="64"/>
      <c r="E7" s="49"/>
      <c r="F7" s="64" t="s">
        <v>57</v>
      </c>
      <c r="G7" s="64" t="s">
        <v>57</v>
      </c>
      <c r="H7" s="64" t="s">
        <v>57</v>
      </c>
      <c r="I7" s="64" t="s">
        <v>57</v>
      </c>
      <c r="J7" s="9" t="s">
        <v>57</v>
      </c>
      <c r="K7" s="64" t="s">
        <v>57</v>
      </c>
      <c r="L7" s="64" t="s">
        <v>57</v>
      </c>
      <c r="M7" s="49" t="s">
        <v>57</v>
      </c>
      <c r="N7" s="64" t="s">
        <v>57</v>
      </c>
      <c r="O7" s="64" t="s">
        <v>57</v>
      </c>
      <c r="P7" s="64" t="s">
        <v>57</v>
      </c>
      <c r="Q7" s="64" t="s">
        <v>57</v>
      </c>
      <c r="R7" s="9"/>
      <c r="S7" s="64"/>
      <c r="T7" s="64"/>
      <c r="U7" s="49"/>
      <c r="V7" s="64"/>
      <c r="W7" s="64"/>
      <c r="X7" s="64"/>
      <c r="Y7" s="64"/>
      <c r="Z7" s="9"/>
      <c r="AA7" s="64"/>
      <c r="AB7" s="64"/>
      <c r="AC7" s="64"/>
      <c r="AD7" s="9"/>
      <c r="AE7" s="64"/>
      <c r="AF7" s="64"/>
      <c r="AG7" s="49"/>
      <c r="AH7" s="64"/>
      <c r="AI7" s="64"/>
      <c r="AJ7" s="64"/>
      <c r="AK7" s="64"/>
      <c r="AL7" s="9"/>
      <c r="AM7" s="64"/>
      <c r="AN7" s="64"/>
      <c r="AO7" s="49"/>
      <c r="AP7" s="36">
        <v>3</v>
      </c>
      <c r="AQ7" s="36">
        <v>3</v>
      </c>
      <c r="AR7" s="36">
        <v>3</v>
      </c>
      <c r="AS7" s="36">
        <v>3</v>
      </c>
      <c r="AT7" s="65">
        <v>12</v>
      </c>
      <c r="AU7" s="33">
        <v>1</v>
      </c>
      <c r="AV7" s="1">
        <v>3</v>
      </c>
      <c r="AW7" s="1"/>
    </row>
    <row r="8" spans="1:49" x14ac:dyDescent="0.3">
      <c r="A8" s="4"/>
      <c r="B8" s="38"/>
      <c r="C8" s="66"/>
      <c r="D8" s="66"/>
      <c r="E8" s="67"/>
      <c r="F8" s="66"/>
      <c r="G8" s="66" t="s">
        <v>67</v>
      </c>
      <c r="H8" s="66"/>
      <c r="I8" s="66"/>
      <c r="J8" s="38"/>
      <c r="K8" s="66"/>
      <c r="L8" s="66"/>
      <c r="M8" s="67"/>
      <c r="N8" s="66"/>
      <c r="O8" s="66"/>
      <c r="P8" s="66"/>
      <c r="Q8" s="66"/>
      <c r="R8" s="38"/>
      <c r="S8" s="66"/>
      <c r="T8" s="66"/>
      <c r="U8" s="67"/>
      <c r="V8" s="66"/>
      <c r="W8" s="66"/>
      <c r="X8" s="66"/>
      <c r="Y8" s="66"/>
      <c r="Z8" s="38"/>
      <c r="AA8" s="66"/>
      <c r="AB8" s="66"/>
      <c r="AC8" s="66"/>
      <c r="AD8" s="38"/>
      <c r="AE8" s="66"/>
      <c r="AF8" s="66"/>
      <c r="AG8" s="67"/>
      <c r="AH8" s="66"/>
      <c r="AI8" s="66"/>
      <c r="AJ8" s="66"/>
      <c r="AK8" s="66"/>
      <c r="AL8" s="38"/>
      <c r="AM8" s="66"/>
      <c r="AN8" s="66"/>
      <c r="AO8" s="67"/>
      <c r="AP8" s="62"/>
      <c r="AQ8" s="62"/>
      <c r="AR8" s="62"/>
      <c r="AS8" s="62"/>
      <c r="AT8" s="31"/>
      <c r="AU8" s="32"/>
      <c r="AV8" s="63"/>
      <c r="AW8" s="63"/>
    </row>
    <row r="9" spans="1:49" x14ac:dyDescent="0.3">
      <c r="A9" s="3" t="s">
        <v>123</v>
      </c>
      <c r="B9" s="9"/>
      <c r="C9" s="64"/>
      <c r="D9" s="64"/>
      <c r="E9" s="49"/>
      <c r="F9" s="64" t="s">
        <v>57</v>
      </c>
      <c r="G9" s="64" t="s">
        <v>57</v>
      </c>
      <c r="H9" s="64" t="s">
        <v>57</v>
      </c>
      <c r="I9" s="64" t="s">
        <v>57</v>
      </c>
      <c r="J9" s="9"/>
      <c r="K9" s="64"/>
      <c r="L9" s="64"/>
      <c r="M9" s="49"/>
      <c r="N9" s="64"/>
      <c r="O9" s="64"/>
      <c r="P9" s="64"/>
      <c r="Q9" s="64"/>
      <c r="R9" s="9"/>
      <c r="S9" s="64"/>
      <c r="T9" s="64"/>
      <c r="U9" s="49"/>
      <c r="V9" s="64"/>
      <c r="W9" s="64"/>
      <c r="X9" s="64"/>
      <c r="Y9" s="64"/>
      <c r="Z9" s="9"/>
      <c r="AA9" s="64"/>
      <c r="AB9" s="64"/>
      <c r="AC9" s="64"/>
      <c r="AD9" s="9"/>
      <c r="AE9" s="64"/>
      <c r="AF9" s="64"/>
      <c r="AG9" s="49"/>
      <c r="AH9" s="64"/>
      <c r="AI9" s="64"/>
      <c r="AJ9" s="64"/>
      <c r="AK9" s="64"/>
      <c r="AL9" s="9"/>
      <c r="AM9" s="64"/>
      <c r="AN9" s="64"/>
      <c r="AO9" s="49"/>
      <c r="AP9" s="36">
        <v>1</v>
      </c>
      <c r="AQ9" s="36">
        <v>1</v>
      </c>
      <c r="AR9" s="36">
        <v>1</v>
      </c>
      <c r="AS9" s="36">
        <v>1</v>
      </c>
      <c r="AT9" s="65">
        <v>4</v>
      </c>
      <c r="AU9" s="33">
        <v>1</v>
      </c>
      <c r="AV9" s="1">
        <v>1</v>
      </c>
      <c r="AW9" s="1"/>
    </row>
    <row r="10" spans="1:49" x14ac:dyDescent="0.3">
      <c r="A10" s="4" t="s">
        <v>102</v>
      </c>
      <c r="B10" s="38"/>
      <c r="C10" s="66"/>
      <c r="D10" s="66"/>
      <c r="E10" s="67"/>
      <c r="F10" s="66"/>
      <c r="G10" s="66"/>
      <c r="H10" s="66"/>
      <c r="I10" s="66"/>
      <c r="J10" s="38"/>
      <c r="K10" s="66"/>
      <c r="L10" s="66"/>
      <c r="M10" s="67"/>
      <c r="N10" s="66"/>
      <c r="O10" s="66"/>
      <c r="P10" s="66"/>
      <c r="Q10" s="66"/>
      <c r="R10" s="38"/>
      <c r="S10" s="66"/>
      <c r="T10" s="66"/>
      <c r="U10" s="67"/>
      <c r="V10" s="66"/>
      <c r="W10" s="66"/>
      <c r="X10" s="66"/>
      <c r="Y10" s="66"/>
      <c r="Z10" s="38"/>
      <c r="AA10" s="66"/>
      <c r="AB10" s="66"/>
      <c r="AC10" s="66"/>
      <c r="AD10" s="38"/>
      <c r="AE10" s="66"/>
      <c r="AF10" s="66"/>
      <c r="AG10" s="67"/>
      <c r="AH10" s="66"/>
      <c r="AI10" s="66"/>
      <c r="AJ10" s="66"/>
      <c r="AK10" s="66"/>
      <c r="AL10" s="38"/>
      <c r="AM10" s="66"/>
      <c r="AN10" s="66"/>
      <c r="AO10" s="67"/>
      <c r="AP10" s="62"/>
      <c r="AQ10" s="62"/>
      <c r="AR10" s="62"/>
      <c r="AS10" s="62"/>
      <c r="AT10" s="31"/>
      <c r="AU10" s="32"/>
      <c r="AV10" s="63"/>
      <c r="AW10" s="63"/>
    </row>
    <row r="11" spans="1:49" x14ac:dyDescent="0.3">
      <c r="A11" s="3" t="s">
        <v>109</v>
      </c>
      <c r="B11" s="9"/>
      <c r="C11" s="64"/>
      <c r="D11" s="64"/>
      <c r="E11" s="49"/>
      <c r="F11" s="64" t="s">
        <v>57</v>
      </c>
      <c r="G11" s="64" t="s">
        <v>57</v>
      </c>
      <c r="H11" s="64" t="s">
        <v>57</v>
      </c>
      <c r="I11" s="64" t="s">
        <v>133</v>
      </c>
      <c r="J11" s="9"/>
      <c r="K11" s="64"/>
      <c r="L11" s="64"/>
      <c r="M11" s="49"/>
      <c r="N11" s="64"/>
      <c r="O11" s="64"/>
      <c r="P11" s="64"/>
      <c r="Q11" s="64"/>
      <c r="R11" s="9"/>
      <c r="S11" s="64"/>
      <c r="T11" s="64"/>
      <c r="U11" s="49"/>
      <c r="V11" s="64"/>
      <c r="W11" s="64"/>
      <c r="X11" s="64"/>
      <c r="Y11" s="64"/>
      <c r="Z11" s="9"/>
      <c r="AA11" s="64"/>
      <c r="AB11" s="64"/>
      <c r="AC11" s="64"/>
      <c r="AD11" s="9"/>
      <c r="AE11" s="64"/>
      <c r="AF11" s="64"/>
      <c r="AG11" s="49"/>
      <c r="AH11" s="64"/>
      <c r="AI11" s="64"/>
      <c r="AJ11" s="64"/>
      <c r="AK11" s="64"/>
      <c r="AL11" s="9"/>
      <c r="AM11" s="64"/>
      <c r="AN11" s="64"/>
      <c r="AO11" s="49"/>
      <c r="AP11" s="36">
        <v>1</v>
      </c>
      <c r="AQ11" s="36">
        <v>1</v>
      </c>
      <c r="AR11" s="36">
        <v>1</v>
      </c>
      <c r="AS11" s="36">
        <v>0</v>
      </c>
      <c r="AT11" s="65">
        <v>3</v>
      </c>
      <c r="AU11" s="33">
        <v>0.75</v>
      </c>
      <c r="AV11" s="1">
        <v>1</v>
      </c>
      <c r="AW11" s="1"/>
    </row>
    <row r="12" spans="1:49" x14ac:dyDescent="0.3">
      <c r="A12" s="4" t="s">
        <v>81</v>
      </c>
      <c r="B12" s="38"/>
      <c r="C12" s="66"/>
      <c r="D12" s="66"/>
      <c r="E12" s="67"/>
      <c r="F12" s="66" t="s">
        <v>57</v>
      </c>
      <c r="G12" s="66" t="s">
        <v>57</v>
      </c>
      <c r="H12" s="66" t="s">
        <v>57</v>
      </c>
      <c r="I12" s="66" t="s">
        <v>133</v>
      </c>
      <c r="J12" s="38"/>
      <c r="K12" s="66"/>
      <c r="L12" s="66"/>
      <c r="M12" s="67"/>
      <c r="N12" s="66"/>
      <c r="O12" s="66"/>
      <c r="P12" s="66"/>
      <c r="Q12" s="66"/>
      <c r="R12" s="38"/>
      <c r="S12" s="66"/>
      <c r="T12" s="66"/>
      <c r="U12" s="67"/>
      <c r="V12" s="66"/>
      <c r="W12" s="66"/>
      <c r="X12" s="66"/>
      <c r="Y12" s="66"/>
      <c r="Z12" s="38"/>
      <c r="AA12" s="66"/>
      <c r="AB12" s="66"/>
      <c r="AC12" s="66"/>
      <c r="AD12" s="38"/>
      <c r="AE12" s="66"/>
      <c r="AF12" s="66"/>
      <c r="AG12" s="67"/>
      <c r="AH12" s="66"/>
      <c r="AI12" s="66"/>
      <c r="AJ12" s="66"/>
      <c r="AK12" s="66"/>
      <c r="AL12" s="38"/>
      <c r="AM12" s="66"/>
      <c r="AN12" s="66"/>
      <c r="AO12" s="67"/>
      <c r="AP12" s="62">
        <v>1</v>
      </c>
      <c r="AQ12" s="62">
        <v>1</v>
      </c>
      <c r="AR12" s="62">
        <v>1</v>
      </c>
      <c r="AS12" s="62">
        <v>0</v>
      </c>
      <c r="AT12" s="31">
        <v>3</v>
      </c>
      <c r="AU12" s="32">
        <v>0.75</v>
      </c>
      <c r="AV12" s="63">
        <v>1</v>
      </c>
      <c r="AW12" s="63"/>
    </row>
    <row r="13" spans="1:49" x14ac:dyDescent="0.3">
      <c r="A13" s="3"/>
      <c r="B13" s="9"/>
      <c r="C13" s="64"/>
      <c r="D13" s="64"/>
      <c r="E13" s="49"/>
      <c r="F13" s="64"/>
      <c r="G13" s="64"/>
      <c r="H13" s="64"/>
      <c r="I13" s="64"/>
      <c r="J13" s="9"/>
      <c r="K13" s="64"/>
      <c r="L13" s="64"/>
      <c r="M13" s="49"/>
      <c r="N13" s="64"/>
      <c r="O13" s="64"/>
      <c r="P13" s="64"/>
      <c r="Q13" s="64"/>
      <c r="R13" s="9"/>
      <c r="S13" s="64"/>
      <c r="T13" s="64"/>
      <c r="U13" s="49"/>
      <c r="V13" s="64"/>
      <c r="W13" s="64"/>
      <c r="X13" s="64"/>
      <c r="Y13" s="64"/>
      <c r="Z13" s="9"/>
      <c r="AA13" s="64"/>
      <c r="AB13" s="64"/>
      <c r="AC13" s="64"/>
      <c r="AD13" s="9"/>
      <c r="AE13" s="64"/>
      <c r="AF13" s="64"/>
      <c r="AG13" s="49"/>
      <c r="AH13" s="64"/>
      <c r="AI13" s="64"/>
      <c r="AJ13" s="64"/>
      <c r="AK13" s="64"/>
      <c r="AL13" s="9"/>
      <c r="AM13" s="64"/>
      <c r="AN13" s="64"/>
      <c r="AO13" s="49"/>
      <c r="AP13" s="36"/>
      <c r="AQ13" s="36"/>
      <c r="AR13" s="36"/>
      <c r="AS13" s="36"/>
      <c r="AT13" s="65"/>
      <c r="AU13" s="33"/>
      <c r="AV13" s="1"/>
      <c r="AW13" s="1"/>
    </row>
    <row r="14" spans="1:49" x14ac:dyDescent="0.3">
      <c r="A14" s="4"/>
      <c r="B14" s="38"/>
      <c r="C14" s="66"/>
      <c r="D14" s="66"/>
      <c r="E14" s="67"/>
      <c r="F14" s="66"/>
      <c r="G14" s="66"/>
      <c r="H14" s="66"/>
      <c r="I14" s="66"/>
      <c r="J14" s="38"/>
      <c r="K14" s="66"/>
      <c r="L14" s="66"/>
      <c r="M14" s="67"/>
      <c r="N14" s="66"/>
      <c r="O14" s="66"/>
      <c r="P14" s="66"/>
      <c r="Q14" s="66"/>
      <c r="R14" s="38"/>
      <c r="S14" s="66"/>
      <c r="T14" s="66"/>
      <c r="U14" s="67"/>
      <c r="V14" s="66"/>
      <c r="W14" s="66"/>
      <c r="X14" s="66"/>
      <c r="Y14" s="66"/>
      <c r="Z14" s="38"/>
      <c r="AA14" s="66"/>
      <c r="AB14" s="66"/>
      <c r="AC14" s="66"/>
      <c r="AD14" s="38"/>
      <c r="AE14" s="66"/>
      <c r="AF14" s="66"/>
      <c r="AG14" s="67"/>
      <c r="AH14" s="66"/>
      <c r="AI14" s="66"/>
      <c r="AJ14" s="66"/>
      <c r="AK14" s="66"/>
      <c r="AL14" s="38"/>
      <c r="AM14" s="66"/>
      <c r="AN14" s="66"/>
      <c r="AO14" s="67"/>
      <c r="AP14" s="62"/>
      <c r="AQ14" s="62"/>
      <c r="AR14" s="62"/>
      <c r="AS14" s="62"/>
      <c r="AT14" s="31"/>
      <c r="AU14" s="32"/>
      <c r="AV14" s="63"/>
      <c r="AW14" s="63"/>
    </row>
    <row r="15" spans="1:49" x14ac:dyDescent="0.3">
      <c r="A15" s="3"/>
      <c r="B15" s="9"/>
      <c r="C15" s="64"/>
      <c r="D15" s="64"/>
      <c r="E15" s="49"/>
      <c r="F15" s="64"/>
      <c r="G15" s="64"/>
      <c r="H15" s="64"/>
      <c r="I15" s="64"/>
      <c r="J15" s="9"/>
      <c r="K15" s="64"/>
      <c r="L15" s="64"/>
      <c r="M15" s="49"/>
      <c r="N15" s="64"/>
      <c r="O15" s="64"/>
      <c r="P15" s="64"/>
      <c r="Q15" s="64"/>
      <c r="R15" s="9"/>
      <c r="S15" s="64"/>
      <c r="T15" s="64"/>
      <c r="U15" s="49"/>
      <c r="V15" s="64"/>
      <c r="W15" s="64"/>
      <c r="X15" s="64"/>
      <c r="Y15" s="64"/>
      <c r="Z15" s="9"/>
      <c r="AA15" s="64"/>
      <c r="AB15" s="64"/>
      <c r="AC15" s="64"/>
      <c r="AD15" s="9"/>
      <c r="AE15" s="64"/>
      <c r="AF15" s="64"/>
      <c r="AG15" s="49"/>
      <c r="AH15" s="64"/>
      <c r="AI15" s="64"/>
      <c r="AJ15" s="64"/>
      <c r="AK15" s="64"/>
      <c r="AL15" s="9"/>
      <c r="AM15" s="64"/>
      <c r="AN15" s="64"/>
      <c r="AO15" s="49"/>
      <c r="AP15" s="36"/>
      <c r="AQ15" s="36"/>
      <c r="AR15" s="36"/>
      <c r="AS15" s="36"/>
      <c r="AT15" s="65"/>
      <c r="AU15" s="33"/>
      <c r="AV15" s="1"/>
      <c r="AW15" s="1"/>
    </row>
    <row r="16" spans="1:49" x14ac:dyDescent="0.3">
      <c r="A16" s="4"/>
      <c r="B16" s="38"/>
      <c r="C16" s="66"/>
      <c r="D16" s="66"/>
      <c r="E16" s="67"/>
      <c r="F16" s="66"/>
      <c r="G16" s="66"/>
      <c r="H16" s="66"/>
      <c r="I16" s="66"/>
      <c r="J16" s="38"/>
      <c r="K16" s="66"/>
      <c r="L16" s="66"/>
      <c r="M16" s="67"/>
      <c r="N16" s="66"/>
      <c r="O16" s="66"/>
      <c r="P16" s="66"/>
      <c r="Q16" s="66"/>
      <c r="R16" s="38"/>
      <c r="S16" s="66"/>
      <c r="T16" s="66"/>
      <c r="U16" s="67"/>
      <c r="V16" s="66"/>
      <c r="W16" s="66"/>
      <c r="X16" s="66"/>
      <c r="Y16" s="66"/>
      <c r="Z16" s="38"/>
      <c r="AA16" s="66"/>
      <c r="AB16" s="66"/>
      <c r="AC16" s="66"/>
      <c r="AD16" s="38"/>
      <c r="AE16" s="66"/>
      <c r="AF16" s="66"/>
      <c r="AG16" s="67"/>
      <c r="AH16" s="66"/>
      <c r="AI16" s="66"/>
      <c r="AJ16" s="66"/>
      <c r="AK16" s="66"/>
      <c r="AL16" s="38"/>
      <c r="AM16" s="66"/>
      <c r="AN16" s="66"/>
      <c r="AO16" s="67"/>
      <c r="AP16" s="62"/>
      <c r="AQ16" s="62"/>
      <c r="AR16" s="62"/>
      <c r="AS16" s="62"/>
      <c r="AT16" s="31"/>
      <c r="AU16" s="32"/>
      <c r="AV16" s="63"/>
      <c r="AW16" s="63"/>
    </row>
    <row r="17" spans="1:49" x14ac:dyDescent="0.3">
      <c r="A17" s="3"/>
      <c r="B17" s="9"/>
      <c r="C17" s="64"/>
      <c r="D17" s="64"/>
      <c r="E17" s="49"/>
      <c r="F17" s="64"/>
      <c r="G17" s="64"/>
      <c r="H17" s="64"/>
      <c r="I17" s="64"/>
      <c r="J17" s="9"/>
      <c r="K17" s="64"/>
      <c r="L17" s="64"/>
      <c r="M17" s="49"/>
      <c r="N17" s="64"/>
      <c r="O17" s="64"/>
      <c r="P17" s="64"/>
      <c r="Q17" s="64"/>
      <c r="R17" s="9"/>
      <c r="S17" s="64"/>
      <c r="T17" s="64"/>
      <c r="U17" s="49"/>
      <c r="V17" s="64"/>
      <c r="W17" s="64"/>
      <c r="X17" s="64"/>
      <c r="Y17" s="64"/>
      <c r="Z17" s="9"/>
      <c r="AA17" s="64"/>
      <c r="AB17" s="64"/>
      <c r="AC17" s="64"/>
      <c r="AD17" s="9"/>
      <c r="AE17" s="64"/>
      <c r="AF17" s="64"/>
      <c r="AG17" s="49"/>
      <c r="AH17" s="64"/>
      <c r="AI17" s="64"/>
      <c r="AJ17" s="64"/>
      <c r="AK17" s="64"/>
      <c r="AL17" s="9"/>
      <c r="AM17" s="64"/>
      <c r="AN17" s="64"/>
      <c r="AO17" s="49"/>
      <c r="AP17" s="36"/>
      <c r="AQ17" s="36"/>
      <c r="AR17" s="36"/>
      <c r="AS17" s="36"/>
      <c r="AT17" s="65"/>
      <c r="AU17" s="33"/>
      <c r="AV17" s="1"/>
      <c r="AW17" s="1"/>
    </row>
    <row r="18" spans="1:49" x14ac:dyDescent="0.3">
      <c r="A18" s="4"/>
      <c r="B18" s="38"/>
      <c r="C18" s="66"/>
      <c r="D18" s="66"/>
      <c r="E18" s="67"/>
      <c r="F18" s="66"/>
      <c r="G18" s="66"/>
      <c r="H18" s="66"/>
      <c r="I18" s="66"/>
      <c r="J18" s="38"/>
      <c r="K18" s="66"/>
      <c r="L18" s="66"/>
      <c r="M18" s="67"/>
      <c r="N18" s="66"/>
      <c r="O18" s="66"/>
      <c r="P18" s="66"/>
      <c r="Q18" s="66"/>
      <c r="R18" s="38"/>
      <c r="S18" s="66"/>
      <c r="T18" s="66"/>
      <c r="U18" s="67"/>
      <c r="V18" s="66"/>
      <c r="W18" s="66"/>
      <c r="X18" s="66"/>
      <c r="Y18" s="66"/>
      <c r="Z18" s="38"/>
      <c r="AA18" s="66"/>
      <c r="AB18" s="66"/>
      <c r="AC18" s="66"/>
      <c r="AD18" s="38"/>
      <c r="AE18" s="66"/>
      <c r="AF18" s="66"/>
      <c r="AG18" s="67"/>
      <c r="AH18" s="66"/>
      <c r="AI18" s="66"/>
      <c r="AJ18" s="66"/>
      <c r="AK18" s="66"/>
      <c r="AL18" s="38"/>
      <c r="AM18" s="66"/>
      <c r="AN18" s="66"/>
      <c r="AO18" s="67"/>
      <c r="AP18" s="62"/>
      <c r="AQ18" s="62"/>
      <c r="AR18" s="62"/>
      <c r="AS18" s="62"/>
      <c r="AT18" s="31"/>
      <c r="AU18" s="32"/>
      <c r="AV18" s="63"/>
      <c r="AW18" s="63"/>
    </row>
    <row r="19" spans="1:49" x14ac:dyDescent="0.3">
      <c r="A19" s="3"/>
      <c r="B19" s="9"/>
      <c r="C19" s="64"/>
      <c r="D19" s="64"/>
      <c r="E19" s="49"/>
      <c r="F19" s="64"/>
      <c r="G19" s="64"/>
      <c r="H19" s="64"/>
      <c r="I19" s="64"/>
      <c r="J19" s="9"/>
      <c r="K19" s="64"/>
      <c r="L19" s="64"/>
      <c r="M19" s="49"/>
      <c r="N19" s="64"/>
      <c r="O19" s="64"/>
      <c r="P19" s="64"/>
      <c r="Q19" s="64"/>
      <c r="R19" s="9"/>
      <c r="S19" s="64"/>
      <c r="T19" s="64"/>
      <c r="U19" s="49"/>
      <c r="V19" s="64"/>
      <c r="W19" s="64"/>
      <c r="X19" s="64"/>
      <c r="Y19" s="64"/>
      <c r="Z19" s="9"/>
      <c r="AA19" s="64"/>
      <c r="AB19" s="64"/>
      <c r="AC19" s="64"/>
      <c r="AD19" s="9"/>
      <c r="AE19" s="64"/>
      <c r="AF19" s="64"/>
      <c r="AG19" s="49"/>
      <c r="AH19" s="64"/>
      <c r="AI19" s="64"/>
      <c r="AJ19" s="64"/>
      <c r="AK19" s="64"/>
      <c r="AL19" s="9"/>
      <c r="AM19" s="64"/>
      <c r="AN19" s="64"/>
      <c r="AO19" s="49"/>
      <c r="AP19" s="36"/>
      <c r="AQ19" s="36"/>
      <c r="AR19" s="36"/>
      <c r="AS19" s="36"/>
      <c r="AT19" s="65"/>
      <c r="AU19" s="33"/>
      <c r="AV19" s="1"/>
      <c r="AW19" s="1"/>
    </row>
    <row r="20" spans="1:49" x14ac:dyDescent="0.3">
      <c r="A20" s="4"/>
      <c r="B20" s="38"/>
      <c r="C20" s="66"/>
      <c r="D20" s="66"/>
      <c r="E20" s="67"/>
      <c r="F20" s="66"/>
      <c r="G20" s="66"/>
      <c r="H20" s="66"/>
      <c r="I20" s="66"/>
      <c r="J20" s="38"/>
      <c r="K20" s="66"/>
      <c r="L20" s="66"/>
      <c r="M20" s="67"/>
      <c r="N20" s="66"/>
      <c r="O20" s="66"/>
      <c r="P20" s="66"/>
      <c r="Q20" s="66"/>
      <c r="R20" s="38"/>
      <c r="S20" s="66"/>
      <c r="T20" s="66"/>
      <c r="U20" s="67"/>
      <c r="V20" s="66"/>
      <c r="W20" s="66"/>
      <c r="X20" s="66"/>
      <c r="Y20" s="66"/>
      <c r="Z20" s="38"/>
      <c r="AA20" s="66"/>
      <c r="AB20" s="66"/>
      <c r="AC20" s="66"/>
      <c r="AD20" s="38"/>
      <c r="AE20" s="66"/>
      <c r="AF20" s="66"/>
      <c r="AG20" s="67"/>
      <c r="AH20" s="66"/>
      <c r="AI20" s="66"/>
      <c r="AJ20" s="66"/>
      <c r="AK20" s="66"/>
      <c r="AL20" s="38"/>
      <c r="AM20" s="66"/>
      <c r="AN20" s="66"/>
      <c r="AO20" s="67"/>
      <c r="AP20" s="62"/>
      <c r="AQ20" s="62"/>
      <c r="AR20" s="62"/>
      <c r="AS20" s="62"/>
      <c r="AT20" s="31"/>
      <c r="AU20" s="32"/>
      <c r="AV20" s="63"/>
      <c r="AW20" s="63"/>
    </row>
    <row r="21" spans="1:49" x14ac:dyDescent="0.3">
      <c r="A21" s="3"/>
      <c r="B21" s="9"/>
      <c r="C21" s="64"/>
      <c r="D21" s="64"/>
      <c r="E21" s="49"/>
      <c r="F21" s="64"/>
      <c r="G21" s="64"/>
      <c r="H21" s="64"/>
      <c r="I21" s="64"/>
      <c r="J21" s="9"/>
      <c r="K21" s="64"/>
      <c r="L21" s="64"/>
      <c r="M21" s="49"/>
      <c r="N21" s="64"/>
      <c r="O21" s="64"/>
      <c r="P21" s="64"/>
      <c r="Q21" s="64"/>
      <c r="R21" s="9"/>
      <c r="S21" s="64"/>
      <c r="T21" s="64"/>
      <c r="U21" s="49"/>
      <c r="V21" s="64"/>
      <c r="W21" s="64"/>
      <c r="X21" s="64"/>
      <c r="Y21" s="64"/>
      <c r="Z21" s="9"/>
      <c r="AA21" s="64"/>
      <c r="AB21" s="64"/>
      <c r="AC21" s="64"/>
      <c r="AD21" s="9"/>
      <c r="AE21" s="64"/>
      <c r="AF21" s="64"/>
      <c r="AG21" s="49"/>
      <c r="AH21" s="64"/>
      <c r="AI21" s="64"/>
      <c r="AJ21" s="64"/>
      <c r="AK21" s="64"/>
      <c r="AL21" s="9"/>
      <c r="AM21" s="64"/>
      <c r="AN21" s="64"/>
      <c r="AO21" s="49"/>
      <c r="AP21" s="36"/>
      <c r="AQ21" s="36"/>
      <c r="AR21" s="36"/>
      <c r="AS21" s="36"/>
      <c r="AT21" s="65"/>
      <c r="AU21" s="33"/>
      <c r="AV21" s="1"/>
      <c r="AW21" s="1"/>
    </row>
    <row r="22" spans="1:49" x14ac:dyDescent="0.3">
      <c r="A22" s="4"/>
      <c r="B22" s="38"/>
      <c r="C22" s="66"/>
      <c r="D22" s="66"/>
      <c r="E22" s="67"/>
      <c r="F22" s="66"/>
      <c r="G22" s="66"/>
      <c r="H22" s="66"/>
      <c r="I22" s="66"/>
      <c r="J22" s="38"/>
      <c r="K22" s="66"/>
      <c r="L22" s="66"/>
      <c r="M22" s="67"/>
      <c r="N22" s="66"/>
      <c r="O22" s="66"/>
      <c r="P22" s="66"/>
      <c r="Q22" s="66"/>
      <c r="R22" s="38"/>
      <c r="S22" s="66"/>
      <c r="T22" s="66"/>
      <c r="U22" s="67"/>
      <c r="V22" s="66"/>
      <c r="W22" s="66"/>
      <c r="X22" s="66"/>
      <c r="Y22" s="66"/>
      <c r="Z22" s="38"/>
      <c r="AA22" s="66"/>
      <c r="AB22" s="66"/>
      <c r="AC22" s="66"/>
      <c r="AD22" s="38"/>
      <c r="AE22" s="66"/>
      <c r="AF22" s="66"/>
      <c r="AG22" s="67"/>
      <c r="AH22" s="66"/>
      <c r="AI22" s="66"/>
      <c r="AJ22" s="66"/>
      <c r="AK22" s="66"/>
      <c r="AL22" s="38"/>
      <c r="AM22" s="66"/>
      <c r="AN22" s="66"/>
      <c r="AO22" s="67"/>
      <c r="AP22" s="62"/>
      <c r="AQ22" s="62"/>
      <c r="AR22" s="62"/>
      <c r="AS22" s="62"/>
      <c r="AT22" s="31"/>
      <c r="AU22" s="32"/>
      <c r="AV22" s="63"/>
      <c r="AW22" s="63"/>
    </row>
    <row r="23" spans="1:49" x14ac:dyDescent="0.3">
      <c r="A23" s="3"/>
      <c r="B23" s="9"/>
      <c r="C23" s="64"/>
      <c r="D23" s="64"/>
      <c r="E23" s="49"/>
      <c r="F23" s="64"/>
      <c r="G23" s="64"/>
      <c r="H23" s="64"/>
      <c r="I23" s="64"/>
      <c r="J23" s="9"/>
      <c r="K23" s="64"/>
      <c r="L23" s="64"/>
      <c r="M23" s="49"/>
      <c r="N23" s="64"/>
      <c r="O23" s="64"/>
      <c r="P23" s="64"/>
      <c r="Q23" s="64"/>
      <c r="R23" s="9"/>
      <c r="S23" s="64"/>
      <c r="T23" s="64"/>
      <c r="U23" s="49"/>
      <c r="V23" s="64"/>
      <c r="W23" s="64"/>
      <c r="X23" s="64"/>
      <c r="Y23" s="64"/>
      <c r="Z23" s="9"/>
      <c r="AA23" s="64"/>
      <c r="AB23" s="64"/>
      <c r="AC23" s="64"/>
      <c r="AD23" s="9"/>
      <c r="AE23" s="64"/>
      <c r="AF23" s="64"/>
      <c r="AG23" s="49"/>
      <c r="AH23" s="64"/>
      <c r="AI23" s="64"/>
      <c r="AJ23" s="64"/>
      <c r="AK23" s="64"/>
      <c r="AL23" s="9"/>
      <c r="AM23" s="64"/>
      <c r="AN23" s="64"/>
      <c r="AO23" s="49"/>
      <c r="AP23" s="36"/>
      <c r="AQ23" s="36"/>
      <c r="AR23" s="36"/>
      <c r="AS23" s="36"/>
      <c r="AT23" s="65"/>
      <c r="AU23" s="33"/>
      <c r="AV23" s="1"/>
      <c r="AW23" s="1"/>
    </row>
    <row r="24" spans="1:49" x14ac:dyDescent="0.3">
      <c r="A24" s="4"/>
      <c r="B24" s="38"/>
      <c r="C24" s="66"/>
      <c r="D24" s="66"/>
      <c r="E24" s="67"/>
      <c r="F24" s="66"/>
      <c r="G24" s="66"/>
      <c r="H24" s="66"/>
      <c r="I24" s="66"/>
      <c r="J24" s="38"/>
      <c r="K24" s="66"/>
      <c r="L24" s="66"/>
      <c r="M24" s="67"/>
      <c r="N24" s="66"/>
      <c r="O24" s="66"/>
      <c r="P24" s="66"/>
      <c r="Q24" s="66"/>
      <c r="R24" s="38"/>
      <c r="S24" s="66"/>
      <c r="T24" s="66"/>
      <c r="U24" s="67"/>
      <c r="V24" s="66"/>
      <c r="W24" s="66"/>
      <c r="X24" s="66"/>
      <c r="Y24" s="66"/>
      <c r="Z24" s="38"/>
      <c r="AA24" s="66"/>
      <c r="AB24" s="66"/>
      <c r="AC24" s="66"/>
      <c r="AD24" s="38"/>
      <c r="AE24" s="66"/>
      <c r="AF24" s="66"/>
      <c r="AG24" s="67"/>
      <c r="AH24" s="66"/>
      <c r="AI24" s="66"/>
      <c r="AJ24" s="66"/>
      <c r="AK24" s="66"/>
      <c r="AL24" s="38"/>
      <c r="AM24" s="66"/>
      <c r="AN24" s="66"/>
      <c r="AO24" s="67"/>
      <c r="AP24" s="62"/>
      <c r="AQ24" s="62"/>
      <c r="AR24" s="62"/>
      <c r="AS24" s="62"/>
      <c r="AT24" s="31"/>
      <c r="AU24" s="32"/>
      <c r="AV24" s="63"/>
      <c r="AW24" s="63"/>
    </row>
    <row r="25" spans="1:49" x14ac:dyDescent="0.3">
      <c r="A25" s="3"/>
      <c r="B25" s="9"/>
      <c r="C25" s="64"/>
      <c r="D25" s="64"/>
      <c r="E25" s="49"/>
      <c r="F25" s="64"/>
      <c r="G25" s="64"/>
      <c r="H25" s="64"/>
      <c r="I25" s="64"/>
      <c r="J25" s="9"/>
      <c r="K25" s="64"/>
      <c r="L25" s="64"/>
      <c r="M25" s="49"/>
      <c r="N25" s="64"/>
      <c r="O25" s="64"/>
      <c r="P25" s="64"/>
      <c r="Q25" s="64"/>
      <c r="R25" s="9"/>
      <c r="S25" s="64"/>
      <c r="T25" s="64"/>
      <c r="U25" s="49"/>
      <c r="V25" s="64"/>
      <c r="W25" s="64"/>
      <c r="X25" s="64"/>
      <c r="Y25" s="64"/>
      <c r="Z25" s="9"/>
      <c r="AA25" s="64"/>
      <c r="AB25" s="64"/>
      <c r="AC25" s="64"/>
      <c r="AD25" s="9"/>
      <c r="AE25" s="64"/>
      <c r="AF25" s="64"/>
      <c r="AG25" s="49"/>
      <c r="AH25" s="64"/>
      <c r="AI25" s="64"/>
      <c r="AJ25" s="64"/>
      <c r="AK25" s="64"/>
      <c r="AL25" s="9"/>
      <c r="AM25" s="64"/>
      <c r="AN25" s="64"/>
      <c r="AO25" s="49"/>
      <c r="AP25" s="36"/>
      <c r="AQ25" s="36"/>
      <c r="AR25" s="36"/>
      <c r="AS25" s="36"/>
      <c r="AT25" s="65"/>
      <c r="AU25" s="33"/>
      <c r="AV25" s="1"/>
      <c r="AW25" s="1"/>
    </row>
    <row r="26" spans="1:49" x14ac:dyDescent="0.3">
      <c r="A26" s="4"/>
      <c r="B26" s="38"/>
      <c r="C26" s="66"/>
      <c r="D26" s="66"/>
      <c r="E26" s="67"/>
      <c r="F26" s="66"/>
      <c r="G26" s="66"/>
      <c r="H26" s="66"/>
      <c r="I26" s="66"/>
      <c r="J26" s="38"/>
      <c r="K26" s="66"/>
      <c r="L26" s="66"/>
      <c r="M26" s="67"/>
      <c r="N26" s="66"/>
      <c r="O26" s="66"/>
      <c r="P26" s="66"/>
      <c r="Q26" s="66"/>
      <c r="R26" s="38"/>
      <c r="S26" s="66"/>
      <c r="T26" s="66"/>
      <c r="U26" s="67"/>
      <c r="V26" s="66"/>
      <c r="W26" s="66"/>
      <c r="X26" s="66"/>
      <c r="Y26" s="66"/>
      <c r="Z26" s="38"/>
      <c r="AA26" s="66"/>
      <c r="AB26" s="66"/>
      <c r="AC26" s="66"/>
      <c r="AD26" s="38"/>
      <c r="AE26" s="66"/>
      <c r="AF26" s="66"/>
      <c r="AG26" s="67"/>
      <c r="AH26" s="66"/>
      <c r="AI26" s="66"/>
      <c r="AJ26" s="66"/>
      <c r="AK26" s="66"/>
      <c r="AL26" s="38"/>
      <c r="AM26" s="66"/>
      <c r="AN26" s="66"/>
      <c r="AO26" s="67"/>
      <c r="AP26" s="62"/>
      <c r="AQ26" s="62"/>
      <c r="AR26" s="62"/>
      <c r="AS26" s="62"/>
      <c r="AT26" s="31"/>
      <c r="AU26" s="32"/>
      <c r="AV26" s="63"/>
      <c r="AW26" s="63"/>
    </row>
    <row r="27" spans="1:49" x14ac:dyDescent="0.3">
      <c r="A27" s="3"/>
      <c r="B27" s="9"/>
      <c r="C27" s="64"/>
      <c r="D27" s="64"/>
      <c r="E27" s="49"/>
      <c r="F27" s="64"/>
      <c r="G27" s="64"/>
      <c r="H27" s="64"/>
      <c r="I27" s="64"/>
      <c r="J27" s="9"/>
      <c r="K27" s="64"/>
      <c r="L27" s="64"/>
      <c r="M27" s="49"/>
      <c r="N27" s="64"/>
      <c r="O27" s="64"/>
      <c r="P27" s="64"/>
      <c r="Q27" s="64"/>
      <c r="R27" s="9"/>
      <c r="S27" s="64"/>
      <c r="T27" s="64"/>
      <c r="U27" s="49"/>
      <c r="V27" s="64"/>
      <c r="W27" s="64"/>
      <c r="X27" s="64"/>
      <c r="Y27" s="64"/>
      <c r="Z27" s="9"/>
      <c r="AA27" s="64"/>
      <c r="AB27" s="64"/>
      <c r="AC27" s="64"/>
      <c r="AD27" s="9"/>
      <c r="AE27" s="64"/>
      <c r="AF27" s="64"/>
      <c r="AG27" s="49"/>
      <c r="AH27" s="64"/>
      <c r="AI27" s="64"/>
      <c r="AJ27" s="64"/>
      <c r="AK27" s="64"/>
      <c r="AL27" s="9"/>
      <c r="AM27" s="64"/>
      <c r="AN27" s="64"/>
      <c r="AO27" s="49"/>
      <c r="AP27" s="36"/>
      <c r="AQ27" s="36"/>
      <c r="AR27" s="36"/>
      <c r="AS27" s="36"/>
      <c r="AT27" s="65"/>
      <c r="AU27" s="33"/>
      <c r="AV27" s="1"/>
      <c r="AW27" s="1"/>
    </row>
    <row r="28" spans="1:49" x14ac:dyDescent="0.3">
      <c r="A28" s="4"/>
      <c r="B28" s="38"/>
      <c r="C28" s="66"/>
      <c r="D28" s="66"/>
      <c r="E28" s="67"/>
      <c r="F28" s="66"/>
      <c r="G28" s="66"/>
      <c r="H28" s="66"/>
      <c r="I28" s="66"/>
      <c r="J28" s="38"/>
      <c r="K28" s="66"/>
      <c r="L28" s="66"/>
      <c r="M28" s="67"/>
      <c r="N28" s="66"/>
      <c r="O28" s="66"/>
      <c r="P28" s="66"/>
      <c r="Q28" s="66"/>
      <c r="R28" s="38"/>
      <c r="S28" s="66"/>
      <c r="T28" s="66"/>
      <c r="U28" s="67"/>
      <c r="V28" s="66"/>
      <c r="W28" s="66"/>
      <c r="X28" s="66"/>
      <c r="Y28" s="66"/>
      <c r="Z28" s="38"/>
      <c r="AA28" s="66"/>
      <c r="AB28" s="66"/>
      <c r="AC28" s="66"/>
      <c r="AD28" s="38"/>
      <c r="AE28" s="66"/>
      <c r="AF28" s="66"/>
      <c r="AG28" s="67"/>
      <c r="AH28" s="66"/>
      <c r="AI28" s="66"/>
      <c r="AJ28" s="66"/>
      <c r="AK28" s="66"/>
      <c r="AL28" s="38"/>
      <c r="AM28" s="66"/>
      <c r="AN28" s="66"/>
      <c r="AO28" s="67"/>
      <c r="AP28" s="62"/>
      <c r="AQ28" s="62"/>
      <c r="AR28" s="62"/>
      <c r="AS28" s="62"/>
      <c r="AT28" s="31"/>
      <c r="AU28" s="32"/>
      <c r="AV28" s="63"/>
      <c r="AW28" s="63"/>
    </row>
    <row r="29" spans="1:49" x14ac:dyDescent="0.3">
      <c r="A29" s="3"/>
      <c r="B29" s="9"/>
      <c r="C29" s="64"/>
      <c r="D29" s="64"/>
      <c r="E29" s="49"/>
      <c r="F29" s="64"/>
      <c r="G29" s="64"/>
      <c r="H29" s="64"/>
      <c r="I29" s="64"/>
      <c r="J29" s="9"/>
      <c r="K29" s="64"/>
      <c r="L29" s="64"/>
      <c r="M29" s="49"/>
      <c r="N29" s="64"/>
      <c r="O29" s="64"/>
      <c r="P29" s="64"/>
      <c r="Q29" s="64"/>
      <c r="R29" s="9"/>
      <c r="S29" s="64"/>
      <c r="T29" s="64"/>
      <c r="U29" s="49"/>
      <c r="V29" s="64"/>
      <c r="W29" s="64"/>
      <c r="X29" s="64"/>
      <c r="Y29" s="64"/>
      <c r="Z29" s="9"/>
      <c r="AA29" s="64"/>
      <c r="AB29" s="64"/>
      <c r="AC29" s="64"/>
      <c r="AD29" s="9"/>
      <c r="AE29" s="64"/>
      <c r="AF29" s="64"/>
      <c r="AG29" s="49"/>
      <c r="AH29" s="64"/>
      <c r="AI29" s="64"/>
      <c r="AJ29" s="64"/>
      <c r="AK29" s="64"/>
      <c r="AL29" s="9"/>
      <c r="AM29" s="64"/>
      <c r="AN29" s="64"/>
      <c r="AO29" s="49"/>
      <c r="AP29" s="36"/>
      <c r="AQ29" s="36"/>
      <c r="AR29" s="36"/>
      <c r="AS29" s="36"/>
      <c r="AT29" s="65"/>
      <c r="AU29" s="33"/>
      <c r="AV29" s="1"/>
      <c r="AW29" s="1"/>
    </row>
    <row r="30" spans="1:49" x14ac:dyDescent="0.3">
      <c r="A30" s="4"/>
      <c r="B30" s="38"/>
      <c r="C30" s="66"/>
      <c r="D30" s="66"/>
      <c r="E30" s="67"/>
      <c r="F30" s="66"/>
      <c r="G30" s="66"/>
      <c r="H30" s="66"/>
      <c r="I30" s="66"/>
      <c r="J30" s="38"/>
      <c r="K30" s="66"/>
      <c r="L30" s="66"/>
      <c r="M30" s="67"/>
      <c r="N30" s="66"/>
      <c r="O30" s="66"/>
      <c r="P30" s="66"/>
      <c r="Q30" s="66"/>
      <c r="R30" s="38"/>
      <c r="S30" s="66"/>
      <c r="T30" s="66"/>
      <c r="U30" s="67"/>
      <c r="V30" s="66"/>
      <c r="W30" s="66"/>
      <c r="X30" s="66"/>
      <c r="Y30" s="66"/>
      <c r="Z30" s="38"/>
      <c r="AA30" s="66"/>
      <c r="AB30" s="66"/>
      <c r="AC30" s="66"/>
      <c r="AD30" s="38"/>
      <c r="AE30" s="66"/>
      <c r="AF30" s="66"/>
      <c r="AG30" s="67"/>
      <c r="AH30" s="66"/>
      <c r="AI30" s="66"/>
      <c r="AJ30" s="66"/>
      <c r="AK30" s="66"/>
      <c r="AL30" s="38"/>
      <c r="AM30" s="66"/>
      <c r="AN30" s="66"/>
      <c r="AO30" s="67"/>
      <c r="AP30" s="62"/>
      <c r="AQ30" s="62"/>
      <c r="AR30" s="62"/>
      <c r="AS30" s="62"/>
      <c r="AT30" s="31"/>
      <c r="AU30" s="32"/>
      <c r="AV30" s="63"/>
      <c r="AW30" s="63"/>
    </row>
    <row r="31" spans="1:49" x14ac:dyDescent="0.3">
      <c r="A31" s="3"/>
      <c r="B31" s="9"/>
      <c r="C31" s="64"/>
      <c r="D31" s="64"/>
      <c r="E31" s="49"/>
      <c r="F31" s="64"/>
      <c r="G31" s="64"/>
      <c r="H31" s="64"/>
      <c r="I31" s="64"/>
      <c r="J31" s="9"/>
      <c r="K31" s="64"/>
      <c r="L31" s="64"/>
      <c r="M31" s="49"/>
      <c r="N31" s="64"/>
      <c r="O31" s="64"/>
      <c r="P31" s="64"/>
      <c r="Q31" s="64"/>
      <c r="R31" s="9"/>
      <c r="S31" s="64"/>
      <c r="T31" s="64"/>
      <c r="U31" s="49"/>
      <c r="V31" s="64"/>
      <c r="W31" s="64"/>
      <c r="X31" s="64"/>
      <c r="Y31" s="64"/>
      <c r="Z31" s="9"/>
      <c r="AA31" s="64"/>
      <c r="AB31" s="64"/>
      <c r="AC31" s="64"/>
      <c r="AD31" s="9"/>
      <c r="AE31" s="64"/>
      <c r="AF31" s="64"/>
      <c r="AG31" s="49"/>
      <c r="AH31" s="64"/>
      <c r="AI31" s="64"/>
      <c r="AJ31" s="64"/>
      <c r="AK31" s="64"/>
      <c r="AL31" s="9"/>
      <c r="AM31" s="64"/>
      <c r="AN31" s="64"/>
      <c r="AO31" s="49"/>
      <c r="AP31" s="36"/>
      <c r="AQ31" s="36"/>
      <c r="AR31" s="36"/>
      <c r="AS31" s="36"/>
      <c r="AT31" s="65"/>
      <c r="AU31" s="33"/>
      <c r="AV31" s="1"/>
      <c r="AW31" s="1"/>
    </row>
    <row r="32" spans="1:49" x14ac:dyDescent="0.3">
      <c r="A32" s="4"/>
      <c r="B32" s="38"/>
      <c r="C32" s="66"/>
      <c r="D32" s="66"/>
      <c r="E32" s="67"/>
      <c r="F32" s="66"/>
      <c r="G32" s="66"/>
      <c r="H32" s="66"/>
      <c r="I32" s="66"/>
      <c r="J32" s="38"/>
      <c r="K32" s="66"/>
      <c r="L32" s="66"/>
      <c r="M32" s="67"/>
      <c r="N32" s="66"/>
      <c r="O32" s="66"/>
      <c r="P32" s="66"/>
      <c r="Q32" s="66"/>
      <c r="R32" s="38"/>
      <c r="S32" s="66"/>
      <c r="T32" s="66"/>
      <c r="U32" s="67"/>
      <c r="V32" s="66"/>
      <c r="W32" s="66"/>
      <c r="X32" s="66"/>
      <c r="Y32" s="66"/>
      <c r="Z32" s="38"/>
      <c r="AA32" s="66"/>
      <c r="AB32" s="66"/>
      <c r="AC32" s="66"/>
      <c r="AD32" s="38"/>
      <c r="AE32" s="66"/>
      <c r="AF32" s="66"/>
      <c r="AG32" s="67"/>
      <c r="AH32" s="66"/>
      <c r="AI32" s="66"/>
      <c r="AJ32" s="66"/>
      <c r="AK32" s="66"/>
      <c r="AL32" s="38"/>
      <c r="AM32" s="66"/>
      <c r="AN32" s="66"/>
      <c r="AO32" s="67"/>
      <c r="AP32" s="62"/>
      <c r="AQ32" s="62"/>
      <c r="AR32" s="62"/>
      <c r="AS32" s="62"/>
      <c r="AT32" s="31"/>
      <c r="AU32" s="32"/>
      <c r="AV32" s="63"/>
      <c r="AW32" s="63"/>
    </row>
    <row r="33" spans="1:49" x14ac:dyDescent="0.3">
      <c r="A33" s="3"/>
      <c r="B33" s="9"/>
      <c r="C33" s="64"/>
      <c r="D33" s="64"/>
      <c r="E33" s="49"/>
      <c r="F33" s="64"/>
      <c r="G33" s="64"/>
      <c r="H33" s="64"/>
      <c r="I33" s="64"/>
      <c r="J33" s="9"/>
      <c r="K33" s="64"/>
      <c r="L33" s="64"/>
      <c r="M33" s="49"/>
      <c r="N33" s="64"/>
      <c r="O33" s="64"/>
      <c r="P33" s="64"/>
      <c r="Q33" s="64"/>
      <c r="R33" s="9"/>
      <c r="S33" s="64"/>
      <c r="T33" s="64"/>
      <c r="U33" s="49"/>
      <c r="V33" s="64"/>
      <c r="W33" s="64"/>
      <c r="X33" s="64"/>
      <c r="Y33" s="64"/>
      <c r="Z33" s="9"/>
      <c r="AA33" s="64"/>
      <c r="AB33" s="64"/>
      <c r="AC33" s="64"/>
      <c r="AD33" s="9"/>
      <c r="AE33" s="64"/>
      <c r="AF33" s="64"/>
      <c r="AG33" s="49"/>
      <c r="AH33" s="64"/>
      <c r="AI33" s="64"/>
      <c r="AJ33" s="64"/>
      <c r="AK33" s="64"/>
      <c r="AL33" s="9"/>
      <c r="AM33" s="64"/>
      <c r="AN33" s="64"/>
      <c r="AO33" s="49"/>
      <c r="AP33" s="36"/>
      <c r="AQ33" s="36"/>
      <c r="AR33" s="36"/>
      <c r="AS33" s="36"/>
      <c r="AT33" s="65"/>
      <c r="AU33" s="33"/>
      <c r="AV33" s="1"/>
      <c r="AW33" s="1"/>
    </row>
    <row r="34" spans="1:49" x14ac:dyDescent="0.3">
      <c r="A34" s="4"/>
      <c r="B34" s="38"/>
      <c r="C34" s="66"/>
      <c r="D34" s="66"/>
      <c r="E34" s="67"/>
      <c r="F34" s="66"/>
      <c r="G34" s="66"/>
      <c r="H34" s="66"/>
      <c r="I34" s="66"/>
      <c r="J34" s="38"/>
      <c r="K34" s="66"/>
      <c r="L34" s="66"/>
      <c r="M34" s="67"/>
      <c r="N34" s="66"/>
      <c r="O34" s="66"/>
      <c r="P34" s="66"/>
      <c r="Q34" s="66"/>
      <c r="R34" s="38"/>
      <c r="S34" s="66"/>
      <c r="T34" s="66"/>
      <c r="U34" s="67"/>
      <c r="V34" s="66"/>
      <c r="W34" s="66"/>
      <c r="X34" s="66"/>
      <c r="Y34" s="66"/>
      <c r="Z34" s="38"/>
      <c r="AA34" s="66"/>
      <c r="AB34" s="66"/>
      <c r="AC34" s="66"/>
      <c r="AD34" s="38"/>
      <c r="AE34" s="66"/>
      <c r="AF34" s="66"/>
      <c r="AG34" s="67"/>
      <c r="AH34" s="66"/>
      <c r="AI34" s="66"/>
      <c r="AJ34" s="66"/>
      <c r="AK34" s="66"/>
      <c r="AL34" s="38"/>
      <c r="AM34" s="66"/>
      <c r="AN34" s="66"/>
      <c r="AO34" s="67"/>
      <c r="AP34" s="62"/>
      <c r="AQ34" s="62"/>
      <c r="AR34" s="62"/>
      <c r="AS34" s="62"/>
      <c r="AT34" s="31"/>
      <c r="AU34" s="32"/>
      <c r="AV34" s="63"/>
      <c r="AW34" s="63"/>
    </row>
    <row r="35" spans="1:49" x14ac:dyDescent="0.3">
      <c r="A35" s="3"/>
      <c r="B35" s="9"/>
      <c r="C35" s="64"/>
      <c r="D35" s="64"/>
      <c r="E35" s="49"/>
      <c r="F35" s="64"/>
      <c r="G35" s="64"/>
      <c r="H35" s="64"/>
      <c r="I35" s="64"/>
      <c r="J35" s="9"/>
      <c r="K35" s="64"/>
      <c r="L35" s="64"/>
      <c r="M35" s="49"/>
      <c r="N35" s="64"/>
      <c r="O35" s="64"/>
      <c r="P35" s="64"/>
      <c r="Q35" s="64"/>
      <c r="R35" s="9"/>
      <c r="S35" s="64"/>
      <c r="T35" s="64"/>
      <c r="U35" s="49"/>
      <c r="V35" s="64"/>
      <c r="W35" s="64"/>
      <c r="X35" s="64"/>
      <c r="Y35" s="64"/>
      <c r="Z35" s="9"/>
      <c r="AA35" s="64"/>
      <c r="AB35" s="64"/>
      <c r="AC35" s="64"/>
      <c r="AD35" s="9"/>
      <c r="AE35" s="64"/>
      <c r="AF35" s="64"/>
      <c r="AG35" s="49"/>
      <c r="AH35" s="64"/>
      <c r="AI35" s="64"/>
      <c r="AJ35" s="64"/>
      <c r="AK35" s="64"/>
      <c r="AL35" s="9"/>
      <c r="AM35" s="64"/>
      <c r="AN35" s="64"/>
      <c r="AO35" s="49"/>
      <c r="AP35" s="36"/>
      <c r="AQ35" s="36"/>
      <c r="AR35" s="36"/>
      <c r="AS35" s="36"/>
      <c r="AT35" s="65"/>
      <c r="AU35" s="33"/>
      <c r="AV35" s="1"/>
      <c r="AW35" s="1"/>
    </row>
    <row r="36" spans="1:49" x14ac:dyDescent="0.3">
      <c r="A36" s="4"/>
      <c r="B36" s="38"/>
      <c r="C36" s="66"/>
      <c r="D36" s="66"/>
      <c r="E36" s="67"/>
      <c r="F36" s="66"/>
      <c r="G36" s="66"/>
      <c r="H36" s="66"/>
      <c r="I36" s="66"/>
      <c r="J36" s="38"/>
      <c r="K36" s="66"/>
      <c r="L36" s="66"/>
      <c r="M36" s="67"/>
      <c r="N36" s="66"/>
      <c r="O36" s="66"/>
      <c r="P36" s="66"/>
      <c r="Q36" s="66"/>
      <c r="R36" s="38"/>
      <c r="S36" s="66"/>
      <c r="T36" s="66"/>
      <c r="U36" s="67"/>
      <c r="V36" s="66"/>
      <c r="W36" s="66"/>
      <c r="X36" s="66"/>
      <c r="Y36" s="66"/>
      <c r="Z36" s="38"/>
      <c r="AA36" s="66"/>
      <c r="AB36" s="66"/>
      <c r="AC36" s="66"/>
      <c r="AD36" s="38"/>
      <c r="AE36" s="66"/>
      <c r="AF36" s="66"/>
      <c r="AG36" s="67"/>
      <c r="AH36" s="66"/>
      <c r="AI36" s="66"/>
      <c r="AJ36" s="66"/>
      <c r="AK36" s="66"/>
      <c r="AL36" s="38"/>
      <c r="AM36" s="66"/>
      <c r="AN36" s="66"/>
      <c r="AO36" s="67"/>
      <c r="AP36" s="62"/>
      <c r="AQ36" s="62"/>
      <c r="AR36" s="62"/>
      <c r="AS36" s="62"/>
      <c r="AT36" s="31"/>
      <c r="AU36" s="32"/>
      <c r="AV36" s="63"/>
      <c r="AW36" s="63"/>
    </row>
    <row r="37" spans="1:49" x14ac:dyDescent="0.3">
      <c r="A37" s="3"/>
      <c r="B37" s="9"/>
      <c r="C37" s="64"/>
      <c r="D37" s="64"/>
      <c r="E37" s="49"/>
      <c r="F37" s="64"/>
      <c r="G37" s="64"/>
      <c r="H37" s="64"/>
      <c r="I37" s="64"/>
      <c r="J37" s="9"/>
      <c r="K37" s="64"/>
      <c r="L37" s="64"/>
      <c r="M37" s="49"/>
      <c r="N37" s="64"/>
      <c r="O37" s="64"/>
      <c r="P37" s="64"/>
      <c r="Q37" s="64"/>
      <c r="R37" s="9"/>
      <c r="S37" s="64"/>
      <c r="T37" s="64"/>
      <c r="U37" s="49"/>
      <c r="V37" s="64"/>
      <c r="W37" s="64"/>
      <c r="X37" s="64"/>
      <c r="Y37" s="64"/>
      <c r="Z37" s="9"/>
      <c r="AA37" s="64"/>
      <c r="AB37" s="64"/>
      <c r="AC37" s="64"/>
      <c r="AD37" s="9"/>
      <c r="AE37" s="64"/>
      <c r="AF37" s="64"/>
      <c r="AG37" s="49"/>
      <c r="AH37" s="64"/>
      <c r="AI37" s="64"/>
      <c r="AJ37" s="64"/>
      <c r="AK37" s="64"/>
      <c r="AL37" s="9"/>
      <c r="AM37" s="64"/>
      <c r="AN37" s="64"/>
      <c r="AO37" s="49"/>
      <c r="AP37" s="36"/>
      <c r="AQ37" s="36"/>
      <c r="AR37" s="36"/>
      <c r="AS37" s="36"/>
      <c r="AT37" s="65"/>
      <c r="AU37" s="33"/>
      <c r="AV37" s="1"/>
      <c r="AW37" s="1"/>
    </row>
    <row r="38" spans="1:49" x14ac:dyDescent="0.3">
      <c r="A38" s="4"/>
      <c r="B38" s="38"/>
      <c r="C38" s="66"/>
      <c r="D38" s="66"/>
      <c r="E38" s="67"/>
      <c r="F38" s="66"/>
      <c r="G38" s="66"/>
      <c r="H38" s="66"/>
      <c r="I38" s="66"/>
      <c r="J38" s="38"/>
      <c r="K38" s="66"/>
      <c r="L38" s="66"/>
      <c r="M38" s="67"/>
      <c r="N38" s="66"/>
      <c r="O38" s="66"/>
      <c r="P38" s="66"/>
      <c r="Q38" s="66"/>
      <c r="R38" s="38"/>
      <c r="S38" s="66"/>
      <c r="T38" s="66"/>
      <c r="U38" s="67"/>
      <c r="V38" s="66"/>
      <c r="W38" s="66"/>
      <c r="X38" s="66"/>
      <c r="Y38" s="66"/>
      <c r="Z38" s="38"/>
      <c r="AA38" s="66"/>
      <c r="AB38" s="66"/>
      <c r="AC38" s="66"/>
      <c r="AD38" s="38"/>
      <c r="AE38" s="66"/>
      <c r="AF38" s="66"/>
      <c r="AG38" s="67"/>
      <c r="AH38" s="66"/>
      <c r="AI38" s="66"/>
      <c r="AJ38" s="66"/>
      <c r="AK38" s="66"/>
      <c r="AL38" s="38"/>
      <c r="AM38" s="66"/>
      <c r="AN38" s="66"/>
      <c r="AO38" s="67"/>
      <c r="AP38" s="62"/>
      <c r="AQ38" s="62"/>
      <c r="AR38" s="62"/>
      <c r="AS38" s="62"/>
      <c r="AT38" s="31"/>
      <c r="AU38" s="32"/>
      <c r="AV38" s="63"/>
      <c r="AW38" s="63"/>
    </row>
    <row r="39" spans="1:49" x14ac:dyDescent="0.3">
      <c r="A39" s="3"/>
      <c r="B39" s="9"/>
      <c r="C39" s="64"/>
      <c r="D39" s="64"/>
      <c r="E39" s="49"/>
      <c r="F39" s="64"/>
      <c r="G39" s="64"/>
      <c r="H39" s="64"/>
      <c r="I39" s="64"/>
      <c r="J39" s="9"/>
      <c r="K39" s="64"/>
      <c r="L39" s="64"/>
      <c r="M39" s="49"/>
      <c r="N39" s="64"/>
      <c r="O39" s="64"/>
      <c r="P39" s="64"/>
      <c r="Q39" s="64"/>
      <c r="R39" s="9"/>
      <c r="S39" s="64"/>
      <c r="T39" s="64"/>
      <c r="U39" s="49"/>
      <c r="V39" s="64"/>
      <c r="W39" s="64"/>
      <c r="X39" s="64"/>
      <c r="Y39" s="64"/>
      <c r="Z39" s="9"/>
      <c r="AA39" s="64"/>
      <c r="AB39" s="64"/>
      <c r="AC39" s="64"/>
      <c r="AD39" s="9"/>
      <c r="AE39" s="64"/>
      <c r="AF39" s="64"/>
      <c r="AG39" s="49"/>
      <c r="AH39" s="64"/>
      <c r="AI39" s="64"/>
      <c r="AJ39" s="64"/>
      <c r="AK39" s="64"/>
      <c r="AL39" s="9"/>
      <c r="AM39" s="64"/>
      <c r="AN39" s="64"/>
      <c r="AO39" s="49"/>
      <c r="AP39" s="36"/>
      <c r="AQ39" s="36"/>
      <c r="AR39" s="36"/>
      <c r="AS39" s="36"/>
      <c r="AT39" s="65"/>
      <c r="AU39" s="33"/>
      <c r="AV39" s="1"/>
      <c r="AW39" s="1"/>
    </row>
    <row r="40" spans="1:49" x14ac:dyDescent="0.3">
      <c r="A40" s="4"/>
      <c r="B40" s="38"/>
      <c r="C40" s="66"/>
      <c r="D40" s="66"/>
      <c r="E40" s="67"/>
      <c r="F40" s="66"/>
      <c r="G40" s="66"/>
      <c r="H40" s="66"/>
      <c r="I40" s="66"/>
      <c r="J40" s="38"/>
      <c r="K40" s="66"/>
      <c r="L40" s="66"/>
      <c r="M40" s="67"/>
      <c r="N40" s="66"/>
      <c r="O40" s="66"/>
      <c r="P40" s="66"/>
      <c r="Q40" s="66"/>
      <c r="R40" s="38"/>
      <c r="S40" s="66"/>
      <c r="T40" s="66"/>
      <c r="U40" s="67"/>
      <c r="V40" s="66"/>
      <c r="W40" s="66"/>
      <c r="X40" s="66"/>
      <c r="Y40" s="66"/>
      <c r="Z40" s="38"/>
      <c r="AA40" s="66"/>
      <c r="AB40" s="66"/>
      <c r="AC40" s="66"/>
      <c r="AD40" s="38"/>
      <c r="AE40" s="66"/>
      <c r="AF40" s="66"/>
      <c r="AG40" s="67"/>
      <c r="AH40" s="66"/>
      <c r="AI40" s="66"/>
      <c r="AJ40" s="66"/>
      <c r="AK40" s="66"/>
      <c r="AL40" s="38"/>
      <c r="AM40" s="66"/>
      <c r="AN40" s="66"/>
      <c r="AO40" s="67"/>
      <c r="AP40" s="62"/>
      <c r="AQ40" s="62"/>
      <c r="AR40" s="62"/>
      <c r="AS40" s="62"/>
      <c r="AT40" s="31"/>
      <c r="AU40" s="32"/>
      <c r="AV40" s="63"/>
      <c r="AW40" s="63"/>
    </row>
    <row r="41" spans="1:49" x14ac:dyDescent="0.3">
      <c r="A41" s="3"/>
      <c r="B41" s="9"/>
      <c r="C41" s="64"/>
      <c r="D41" s="64"/>
      <c r="E41" s="49"/>
      <c r="F41" s="64"/>
      <c r="G41" s="64"/>
      <c r="H41" s="64"/>
      <c r="I41" s="64"/>
      <c r="J41" s="9"/>
      <c r="K41" s="64"/>
      <c r="L41" s="64"/>
      <c r="M41" s="49"/>
      <c r="N41" s="64"/>
      <c r="O41" s="64"/>
      <c r="P41" s="64"/>
      <c r="Q41" s="64"/>
      <c r="R41" s="9"/>
      <c r="S41" s="64"/>
      <c r="T41" s="64"/>
      <c r="U41" s="49"/>
      <c r="V41" s="64"/>
      <c r="W41" s="64"/>
      <c r="X41" s="64"/>
      <c r="Y41" s="64"/>
      <c r="Z41" s="9"/>
      <c r="AA41" s="64"/>
      <c r="AB41" s="64"/>
      <c r="AC41" s="64"/>
      <c r="AD41" s="9"/>
      <c r="AE41" s="64"/>
      <c r="AF41" s="64"/>
      <c r="AG41" s="49"/>
      <c r="AH41" s="64"/>
      <c r="AI41" s="64"/>
      <c r="AJ41" s="64"/>
      <c r="AK41" s="64"/>
      <c r="AL41" s="9"/>
      <c r="AM41" s="64"/>
      <c r="AN41" s="64"/>
      <c r="AO41" s="49"/>
      <c r="AP41" s="36"/>
      <c r="AQ41" s="36"/>
      <c r="AR41" s="36"/>
      <c r="AS41" s="36"/>
      <c r="AT41" s="65"/>
      <c r="AU41" s="33"/>
      <c r="AV41" s="1"/>
      <c r="AW41" s="1"/>
    </row>
    <row r="42" spans="1:49" x14ac:dyDescent="0.3">
      <c r="A42" s="4"/>
      <c r="B42" s="38"/>
      <c r="C42" s="66"/>
      <c r="D42" s="66"/>
      <c r="E42" s="67"/>
      <c r="F42" s="66"/>
      <c r="G42" s="66"/>
      <c r="H42" s="66"/>
      <c r="I42" s="66"/>
      <c r="J42" s="38"/>
      <c r="K42" s="66"/>
      <c r="L42" s="66"/>
      <c r="M42" s="67"/>
      <c r="N42" s="66"/>
      <c r="O42" s="66"/>
      <c r="P42" s="66"/>
      <c r="Q42" s="66"/>
      <c r="R42" s="38"/>
      <c r="S42" s="66"/>
      <c r="T42" s="66"/>
      <c r="U42" s="67"/>
      <c r="V42" s="66"/>
      <c r="W42" s="66"/>
      <c r="X42" s="66"/>
      <c r="Y42" s="66"/>
      <c r="Z42" s="38"/>
      <c r="AA42" s="66"/>
      <c r="AB42" s="66"/>
      <c r="AC42" s="66"/>
      <c r="AD42" s="38"/>
      <c r="AE42" s="66"/>
      <c r="AF42" s="66"/>
      <c r="AG42" s="67"/>
      <c r="AH42" s="66"/>
      <c r="AI42" s="66"/>
      <c r="AJ42" s="66"/>
      <c r="AK42" s="66"/>
      <c r="AL42" s="38"/>
      <c r="AM42" s="66"/>
      <c r="AN42" s="66"/>
      <c r="AO42" s="67"/>
      <c r="AP42" s="62"/>
      <c r="AQ42" s="62"/>
      <c r="AR42" s="62"/>
      <c r="AS42" s="62"/>
      <c r="AT42" s="31"/>
      <c r="AU42" s="32"/>
      <c r="AV42" s="63"/>
      <c r="AW42" s="63"/>
    </row>
    <row r="43" spans="1:49" x14ac:dyDescent="0.3">
      <c r="A43" s="37"/>
      <c r="B43" s="68"/>
      <c r="C43" s="36"/>
      <c r="D43" s="36"/>
      <c r="E43" s="69"/>
      <c r="F43" s="36"/>
      <c r="G43" s="36"/>
      <c r="H43" s="36"/>
      <c r="I43" s="36"/>
      <c r="J43" s="68"/>
      <c r="K43" s="36"/>
      <c r="L43" s="36"/>
      <c r="M43" s="69"/>
      <c r="N43" s="36"/>
      <c r="O43" s="36"/>
      <c r="P43" s="36"/>
      <c r="Q43" s="36"/>
      <c r="R43" s="68"/>
      <c r="S43" s="36"/>
      <c r="T43" s="36"/>
      <c r="U43" s="69"/>
      <c r="V43" s="36"/>
      <c r="W43" s="36"/>
      <c r="X43" s="36"/>
      <c r="Y43" s="36"/>
      <c r="Z43" s="68"/>
      <c r="AA43" s="36"/>
      <c r="AB43" s="36"/>
      <c r="AC43" s="36"/>
      <c r="AD43" s="68"/>
      <c r="AE43" s="36"/>
      <c r="AF43" s="36"/>
      <c r="AG43" s="69"/>
      <c r="AH43" s="36"/>
      <c r="AI43" s="36"/>
      <c r="AJ43" s="36"/>
      <c r="AK43" s="36"/>
      <c r="AL43" s="9"/>
      <c r="AM43" s="64"/>
      <c r="AN43" s="64"/>
      <c r="AO43" s="49"/>
      <c r="AP43" s="36"/>
      <c r="AQ43" s="36"/>
      <c r="AR43" s="36"/>
      <c r="AS43" s="36"/>
      <c r="AT43" s="65"/>
      <c r="AU43" s="33"/>
      <c r="AV43" s="1"/>
      <c r="AW43" s="1"/>
    </row>
    <row r="44" spans="1:49" x14ac:dyDescent="0.3">
      <c r="A44" s="38"/>
      <c r="B44" s="38"/>
      <c r="C44" s="66"/>
      <c r="D44" s="66"/>
      <c r="E44" s="66"/>
      <c r="F44" s="38"/>
      <c r="G44" s="66"/>
      <c r="H44" s="66"/>
      <c r="I44" s="67"/>
      <c r="J44" s="66"/>
      <c r="K44" s="66"/>
      <c r="L44" s="66"/>
      <c r="M44" s="66"/>
      <c r="N44" s="38"/>
      <c r="O44" s="66"/>
      <c r="P44" s="66"/>
      <c r="Q44" s="67"/>
      <c r="R44" s="66"/>
      <c r="S44" s="66"/>
      <c r="T44" s="66"/>
      <c r="U44" s="67"/>
      <c r="V44" s="38"/>
      <c r="W44" s="66"/>
      <c r="X44" s="66"/>
      <c r="Y44" s="66"/>
      <c r="Z44" s="38"/>
      <c r="AA44" s="66"/>
      <c r="AB44" s="66"/>
      <c r="AC44" s="66"/>
      <c r="AD44" s="38"/>
      <c r="AE44" s="66"/>
      <c r="AF44" s="66"/>
      <c r="AG44" s="67"/>
      <c r="AH44" s="66"/>
      <c r="AI44" s="66"/>
      <c r="AJ44" s="66"/>
      <c r="AK44" s="66"/>
      <c r="AL44" s="38"/>
      <c r="AM44" s="66"/>
      <c r="AN44" s="66"/>
      <c r="AO44" s="67"/>
      <c r="AP44" s="62"/>
      <c r="AQ44" s="62"/>
      <c r="AR44" s="62"/>
      <c r="AS44" s="62"/>
      <c r="AT44" s="31"/>
      <c r="AU44" s="32"/>
      <c r="AV44" s="63"/>
      <c r="AW44" s="63"/>
    </row>
    <row r="45" spans="1:49" x14ac:dyDescent="0.3">
      <c r="A45" s="9"/>
      <c r="B45" s="9"/>
      <c r="C45" s="64"/>
      <c r="D45" s="64"/>
      <c r="E45" s="64"/>
      <c r="F45" s="9"/>
      <c r="G45" s="64"/>
      <c r="H45" s="64"/>
      <c r="I45" s="49"/>
      <c r="J45" s="64"/>
      <c r="K45" s="64"/>
      <c r="L45" s="64"/>
      <c r="M45" s="64"/>
      <c r="N45" s="9"/>
      <c r="O45" s="64"/>
      <c r="P45" s="64"/>
      <c r="Q45" s="49"/>
      <c r="R45" s="64"/>
      <c r="S45" s="64"/>
      <c r="T45" s="64"/>
      <c r="U45" s="49"/>
      <c r="V45" s="9"/>
      <c r="W45" s="64"/>
      <c r="X45" s="64"/>
      <c r="Y45" s="64"/>
      <c r="Z45" s="9"/>
      <c r="AA45" s="64"/>
      <c r="AB45" s="64"/>
      <c r="AC45" s="64"/>
      <c r="AD45" s="9"/>
      <c r="AE45" s="64"/>
      <c r="AF45" s="64"/>
      <c r="AG45" s="49"/>
      <c r="AH45" s="64"/>
      <c r="AI45" s="64"/>
      <c r="AJ45" s="64"/>
      <c r="AK45" s="64"/>
      <c r="AL45" s="9"/>
      <c r="AM45" s="64"/>
      <c r="AN45" s="64"/>
      <c r="AO45" s="49"/>
      <c r="AP45" s="36"/>
      <c r="AQ45" s="36"/>
      <c r="AR45" s="36"/>
      <c r="AS45" s="36"/>
      <c r="AT45" s="65"/>
      <c r="AU45" s="33"/>
      <c r="AV45" s="1"/>
      <c r="AW45" s="1"/>
    </row>
    <row r="46" spans="1:49" x14ac:dyDescent="0.3">
      <c r="A46" s="38"/>
      <c r="B46" s="38"/>
      <c r="C46" s="66"/>
      <c r="D46" s="66"/>
      <c r="E46" s="66"/>
      <c r="F46" s="38"/>
      <c r="G46" s="66"/>
      <c r="H46" s="66"/>
      <c r="I46" s="67"/>
      <c r="J46" s="66"/>
      <c r="K46" s="66"/>
      <c r="L46" s="66"/>
      <c r="M46" s="66"/>
      <c r="N46" s="38"/>
      <c r="O46" s="66"/>
      <c r="P46" s="66"/>
      <c r="Q46" s="67"/>
      <c r="R46" s="66"/>
      <c r="S46" s="66"/>
      <c r="T46" s="66"/>
      <c r="U46" s="67"/>
      <c r="V46" s="38"/>
      <c r="W46" s="66"/>
      <c r="X46" s="66"/>
      <c r="Y46" s="66"/>
      <c r="Z46" s="38"/>
      <c r="AA46" s="66"/>
      <c r="AB46" s="66"/>
      <c r="AC46" s="66"/>
      <c r="AD46" s="38"/>
      <c r="AE46" s="66"/>
      <c r="AF46" s="66"/>
      <c r="AG46" s="67"/>
      <c r="AH46" s="66"/>
      <c r="AI46" s="66"/>
      <c r="AJ46" s="66"/>
      <c r="AK46" s="66"/>
      <c r="AL46" s="38"/>
      <c r="AM46" s="66"/>
      <c r="AN46" s="66"/>
      <c r="AO46" s="67"/>
      <c r="AP46" s="62"/>
      <c r="AQ46" s="62"/>
      <c r="AR46" s="62"/>
      <c r="AS46" s="62"/>
      <c r="AT46" s="31"/>
      <c r="AU46" s="32"/>
      <c r="AV46" s="63"/>
      <c r="AW46" s="63"/>
    </row>
    <row r="47" spans="1:49" x14ac:dyDescent="0.3">
      <c r="A47" s="9"/>
      <c r="B47" s="9"/>
      <c r="C47" s="64"/>
      <c r="D47" s="64"/>
      <c r="E47" s="64"/>
      <c r="F47" s="9"/>
      <c r="G47" s="64"/>
      <c r="H47" s="64"/>
      <c r="I47" s="49"/>
      <c r="J47" s="64"/>
      <c r="K47" s="64"/>
      <c r="L47" s="64"/>
      <c r="M47" s="64"/>
      <c r="N47" s="9"/>
      <c r="O47" s="64"/>
      <c r="P47" s="64"/>
      <c r="Q47" s="49"/>
      <c r="R47" s="64"/>
      <c r="S47" s="64"/>
      <c r="T47" s="64"/>
      <c r="U47" s="49"/>
      <c r="V47" s="9"/>
      <c r="W47" s="64"/>
      <c r="X47" s="64"/>
      <c r="Y47" s="64"/>
      <c r="Z47" s="9"/>
      <c r="AA47" s="64"/>
      <c r="AB47" s="64"/>
      <c r="AC47" s="64"/>
      <c r="AD47" s="9"/>
      <c r="AE47" s="64"/>
      <c r="AF47" s="64"/>
      <c r="AG47" s="49"/>
      <c r="AH47" s="64"/>
      <c r="AI47" s="64"/>
      <c r="AJ47" s="64"/>
      <c r="AK47" s="64"/>
      <c r="AL47" s="9"/>
      <c r="AM47" s="64"/>
      <c r="AN47" s="64"/>
      <c r="AO47" s="49"/>
      <c r="AP47" s="36"/>
      <c r="AQ47" s="36"/>
      <c r="AR47" s="36"/>
      <c r="AS47" s="36"/>
      <c r="AT47" s="65"/>
      <c r="AU47" s="33"/>
      <c r="AV47" s="1"/>
      <c r="AW47" s="1"/>
    </row>
    <row r="48" spans="1:49" x14ac:dyDescent="0.3">
      <c r="A48" s="38"/>
      <c r="B48" s="38"/>
      <c r="C48" s="66"/>
      <c r="D48" s="66"/>
      <c r="E48" s="66"/>
      <c r="F48" s="38"/>
      <c r="G48" s="66"/>
      <c r="H48" s="66"/>
      <c r="I48" s="67"/>
      <c r="J48" s="66"/>
      <c r="K48" s="66"/>
      <c r="L48" s="66"/>
      <c r="M48" s="66"/>
      <c r="N48" s="38"/>
      <c r="O48" s="66"/>
      <c r="P48" s="66"/>
      <c r="Q48" s="67"/>
      <c r="R48" s="66"/>
      <c r="S48" s="66"/>
      <c r="T48" s="66"/>
      <c r="U48" s="67"/>
      <c r="V48" s="38"/>
      <c r="W48" s="66"/>
      <c r="X48" s="66"/>
      <c r="Y48" s="66"/>
      <c r="Z48" s="38"/>
      <c r="AA48" s="66"/>
      <c r="AB48" s="66"/>
      <c r="AC48" s="66"/>
      <c r="AD48" s="38"/>
      <c r="AE48" s="66"/>
      <c r="AF48" s="66"/>
      <c r="AG48" s="67"/>
      <c r="AH48" s="66"/>
      <c r="AI48" s="66"/>
      <c r="AJ48" s="66"/>
      <c r="AK48" s="66"/>
      <c r="AL48" s="38"/>
      <c r="AM48" s="66"/>
      <c r="AN48" s="66"/>
      <c r="AO48" s="67"/>
      <c r="AP48" s="62"/>
      <c r="AQ48" s="62"/>
      <c r="AR48" s="62"/>
      <c r="AS48" s="62"/>
      <c r="AT48" s="31"/>
      <c r="AU48" s="32"/>
      <c r="AV48" s="63"/>
      <c r="AW48" s="63"/>
    </row>
    <row r="49" spans="1:49" x14ac:dyDescent="0.3">
      <c r="A49" s="9"/>
      <c r="B49" s="9"/>
      <c r="C49" s="64"/>
      <c r="D49" s="64"/>
      <c r="E49" s="64"/>
      <c r="F49" s="9"/>
      <c r="G49" s="64"/>
      <c r="H49" s="64"/>
      <c r="I49" s="49"/>
      <c r="J49" s="64"/>
      <c r="K49" s="64"/>
      <c r="L49" s="64"/>
      <c r="M49" s="64"/>
      <c r="N49" s="9"/>
      <c r="O49" s="64"/>
      <c r="P49" s="64"/>
      <c r="Q49" s="49"/>
      <c r="R49" s="64"/>
      <c r="S49" s="64"/>
      <c r="T49" s="64"/>
      <c r="U49" s="49"/>
      <c r="V49" s="9"/>
      <c r="W49" s="64"/>
      <c r="X49" s="64"/>
      <c r="Y49" s="64"/>
      <c r="Z49" s="9"/>
      <c r="AA49" s="64"/>
      <c r="AB49" s="64"/>
      <c r="AC49" s="64"/>
      <c r="AD49" s="9"/>
      <c r="AE49" s="64"/>
      <c r="AF49" s="64"/>
      <c r="AG49" s="49"/>
      <c r="AH49" s="64"/>
      <c r="AI49" s="64"/>
      <c r="AJ49" s="64"/>
      <c r="AK49" s="64"/>
      <c r="AL49" s="9"/>
      <c r="AM49" s="64"/>
      <c r="AN49" s="64"/>
      <c r="AO49" s="49"/>
      <c r="AP49" s="36"/>
      <c r="AQ49" s="36"/>
      <c r="AR49" s="36"/>
      <c r="AS49" s="36"/>
      <c r="AT49" s="65"/>
      <c r="AU49" s="33"/>
      <c r="AV49" s="1"/>
      <c r="AW49" s="1"/>
    </row>
    <row r="50" spans="1:49" ht="21" thickBot="1" x14ac:dyDescent="0.35">
      <c r="A50" s="39"/>
      <c r="B50" s="39"/>
      <c r="C50" s="70"/>
      <c r="D50" s="70"/>
      <c r="E50" s="70"/>
      <c r="F50" s="39"/>
      <c r="G50" s="70"/>
      <c r="H50" s="70"/>
      <c r="I50" s="71"/>
      <c r="J50" s="70"/>
      <c r="K50" s="70"/>
      <c r="L50" s="70"/>
      <c r="M50" s="70"/>
      <c r="N50" s="39"/>
      <c r="O50" s="70"/>
      <c r="P50" s="70"/>
      <c r="Q50" s="71"/>
      <c r="R50" s="70"/>
      <c r="S50" s="70"/>
      <c r="T50" s="70"/>
      <c r="U50" s="71"/>
      <c r="V50" s="39"/>
      <c r="W50" s="70"/>
      <c r="X50" s="70"/>
      <c r="Y50" s="70"/>
      <c r="Z50" s="39"/>
      <c r="AA50" s="70"/>
      <c r="AB50" s="70"/>
      <c r="AC50" s="70"/>
      <c r="AD50" s="39"/>
      <c r="AE50" s="70"/>
      <c r="AF50" s="70"/>
      <c r="AG50" s="71"/>
      <c r="AH50" s="70"/>
      <c r="AI50" s="70"/>
      <c r="AJ50" s="70"/>
      <c r="AK50" s="70"/>
      <c r="AL50" s="39"/>
      <c r="AM50" s="70"/>
      <c r="AN50" s="70"/>
      <c r="AO50" s="71"/>
      <c r="AP50" s="62"/>
      <c r="AQ50" s="62"/>
      <c r="AR50" s="62"/>
      <c r="AS50" s="62"/>
      <c r="AT50" s="31"/>
      <c r="AU50" s="32"/>
      <c r="AV50" s="63"/>
      <c r="AW50" s="63"/>
    </row>
  </sheetData>
  <sheetProtection formatCells="0" formatColumns="0" formatRows="0" insertColumns="0" insertRows="0" insertHyperlinks="0" deleteColumns="0" deleteRows="0" sort="0" autoFilter="0" pivotTables="0"/>
  <dataConsolidate/>
  <mergeCells count="12">
    <mergeCell ref="AL3:AO3"/>
    <mergeCell ref="AP3:AS3"/>
    <mergeCell ref="AP2:AV2"/>
    <mergeCell ref="B3:E3"/>
    <mergeCell ref="F3:I3"/>
    <mergeCell ref="J3:M3"/>
    <mergeCell ref="N3:Q3"/>
    <mergeCell ref="R3:U3"/>
    <mergeCell ref="V3:Y3"/>
    <mergeCell ref="Z3:AC3"/>
    <mergeCell ref="AD3:AG3"/>
    <mergeCell ref="AH3:AK3"/>
  </mergeCells>
  <phoneticPr fontId="3"/>
  <conditionalFormatting sqref="A10:AW50 R4:AW9">
    <cfRule type="expression" dxfId="7" priority="2">
      <formula>CELL("ROW")=ROW()</formula>
    </cfRule>
  </conditionalFormatting>
  <conditionalFormatting sqref="A4:Q9">
    <cfRule type="expression" dxfId="6" priority="1">
      <formula>CELL("ROW")=ROW()</formula>
    </cfRule>
  </conditionalFormatting>
  <dataValidations count="1">
    <dataValidation showInputMessage="1" sqref="B4:U50" xr:uid="{8CDC1052-899A-DC4F-85BE-07CCC2B5841C}"/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decision">
                <anchor moveWithCells="1">
                  <from>
                    <xdr:col>11</xdr:col>
                    <xdr:colOff>38100</xdr:colOff>
                    <xdr:row>0</xdr:row>
                    <xdr:rowOff>63500</xdr:rowOff>
                  </from>
                  <to>
                    <xdr:col>13</xdr:col>
                    <xdr:colOff>317500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autoFill="0" autoPict="0" macro="[0]!Confirmation">
                <anchor moveWithCells="1" sizeWithCells="1">
                  <from>
                    <xdr:col>16</xdr:col>
                    <xdr:colOff>342900</xdr:colOff>
                    <xdr:row>0</xdr:row>
                    <xdr:rowOff>101600</xdr:rowOff>
                  </from>
                  <to>
                    <xdr:col>21</xdr:col>
                    <xdr:colOff>241300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85655429-5258-D545-9F14-665AD9BD1FC1}">
          <x14:formula1>
            <xm:f>データ!$B$3:$B$55</xm:f>
          </x14:formula1>
          <xm:sqref>A4:A50</xm:sqref>
        </x14:dataValidation>
        <x14:dataValidation type="list" showInputMessage="1" xr:uid="{65D3DA15-5375-614C-AB65-A8DC03E10478}">
          <x14:formula1>
            <xm:f>データ!$O$3:$O$5</xm:f>
          </x14:formula1>
          <xm:sqref>V4:AO50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E90E-09B6-D843-A194-F54ACE55D837}">
  <sheetPr codeName="Sheet5"/>
  <dimension ref="A2:AW50"/>
  <sheetViews>
    <sheetView showRuler="0" zoomScale="130" zoomScaleNormal="130" zoomScalePageLayoutView="90" workbookViewId="0">
      <pane ySplit="3" topLeftCell="A4" activePane="bottomLeft" state="frozen"/>
      <selection pane="bottomLeft" activeCell="E20" sqref="E20"/>
    </sheetView>
  </sheetViews>
  <sheetFormatPr baseColWidth="10" defaultColWidth="12.85546875" defaultRowHeight="20" x14ac:dyDescent="0.3"/>
  <cols>
    <col min="1" max="1" width="14.140625" style="1" customWidth="1"/>
    <col min="2" max="21" width="3.7109375" customWidth="1"/>
    <col min="22" max="41" width="3.7109375" hidden="1" customWidth="1"/>
    <col min="42" max="45" width="3.7109375" style="16" customWidth="1"/>
    <col min="46" max="46" width="8.7109375" style="29" customWidth="1"/>
    <col min="47" max="47" width="8.7109375" style="30" customWidth="1"/>
    <col min="48" max="48" width="8.7109375" style="6" customWidth="1"/>
    <col min="49" max="49" width="11.140625" style="6" customWidth="1"/>
  </cols>
  <sheetData>
    <row r="2" spans="1:49" ht="21" thickBot="1" x14ac:dyDescent="0.35">
      <c r="B2" s="56"/>
      <c r="C2" s="1" t="s">
        <v>45</v>
      </c>
      <c r="D2" s="56"/>
      <c r="E2" s="1" t="s">
        <v>12</v>
      </c>
      <c r="F2" s="56"/>
      <c r="G2" s="1" t="s">
        <v>13</v>
      </c>
      <c r="I2" s="1" t="s">
        <v>14</v>
      </c>
      <c r="J2" s="56"/>
      <c r="AP2" s="135" t="s">
        <v>31</v>
      </c>
      <c r="AQ2" s="135"/>
      <c r="AR2" s="135"/>
      <c r="AS2" s="135"/>
      <c r="AT2" s="135"/>
      <c r="AU2" s="135"/>
      <c r="AV2" s="135"/>
      <c r="AW2" s="113"/>
    </row>
    <row r="3" spans="1:49" ht="21" thickBot="1" x14ac:dyDescent="0.35">
      <c r="A3" s="114" t="s">
        <v>11</v>
      </c>
      <c r="B3" s="136" t="s">
        <v>38</v>
      </c>
      <c r="C3" s="137"/>
      <c r="D3" s="137"/>
      <c r="E3" s="138"/>
      <c r="F3" s="137" t="s">
        <v>0</v>
      </c>
      <c r="G3" s="137"/>
      <c r="H3" s="137"/>
      <c r="I3" s="137"/>
      <c r="J3" s="136" t="s">
        <v>1</v>
      </c>
      <c r="K3" s="137"/>
      <c r="L3" s="137"/>
      <c r="M3" s="138"/>
      <c r="N3" s="137" t="s">
        <v>2</v>
      </c>
      <c r="O3" s="137"/>
      <c r="P3" s="137"/>
      <c r="Q3" s="137"/>
      <c r="R3" s="136" t="s">
        <v>3</v>
      </c>
      <c r="S3" s="137"/>
      <c r="T3" s="137"/>
      <c r="U3" s="138"/>
      <c r="V3" s="136" t="s">
        <v>46</v>
      </c>
      <c r="W3" s="137"/>
      <c r="X3" s="137"/>
      <c r="Y3" s="137"/>
      <c r="Z3" s="136" t="s">
        <v>47</v>
      </c>
      <c r="AA3" s="137"/>
      <c r="AB3" s="137"/>
      <c r="AC3" s="137"/>
      <c r="AD3" s="136" t="s">
        <v>48</v>
      </c>
      <c r="AE3" s="137"/>
      <c r="AF3" s="137"/>
      <c r="AG3" s="138"/>
      <c r="AH3" s="136" t="s">
        <v>49</v>
      </c>
      <c r="AI3" s="137"/>
      <c r="AJ3" s="137"/>
      <c r="AK3" s="138"/>
      <c r="AL3" s="141" t="s">
        <v>50</v>
      </c>
      <c r="AM3" s="142"/>
      <c r="AN3" s="142"/>
      <c r="AO3" s="143"/>
      <c r="AP3" s="139" t="s">
        <v>22</v>
      </c>
      <c r="AQ3" s="140"/>
      <c r="AR3" s="140"/>
      <c r="AS3" s="140"/>
      <c r="AT3" s="29" t="s">
        <v>39</v>
      </c>
      <c r="AU3" s="30" t="s">
        <v>4</v>
      </c>
      <c r="AV3" s="6" t="s">
        <v>40</v>
      </c>
      <c r="AW3" s="6" t="s">
        <v>41</v>
      </c>
    </row>
    <row r="4" spans="1:49" x14ac:dyDescent="0.3">
      <c r="A4" s="5" t="s">
        <v>76</v>
      </c>
      <c r="B4" s="58" t="s">
        <v>57</v>
      </c>
      <c r="C4" s="59" t="s">
        <v>57</v>
      </c>
      <c r="D4" s="59" t="s">
        <v>57</v>
      </c>
      <c r="E4" s="60" t="s">
        <v>133</v>
      </c>
      <c r="F4" s="59" t="s">
        <v>57</v>
      </c>
      <c r="G4" s="61" t="s">
        <v>57</v>
      </c>
      <c r="H4" s="59" t="s">
        <v>57</v>
      </c>
      <c r="I4" s="59" t="s">
        <v>57</v>
      </c>
      <c r="J4" s="58" t="s">
        <v>57</v>
      </c>
      <c r="K4" s="59" t="s">
        <v>57</v>
      </c>
      <c r="L4" s="59" t="s">
        <v>57</v>
      </c>
      <c r="M4" s="60" t="s">
        <v>57</v>
      </c>
      <c r="N4" s="59" t="s">
        <v>133</v>
      </c>
      <c r="O4" s="59" t="s">
        <v>133</v>
      </c>
      <c r="P4" s="59" t="s">
        <v>133</v>
      </c>
      <c r="Q4" s="59" t="s">
        <v>57</v>
      </c>
      <c r="R4" s="58"/>
      <c r="S4" s="59"/>
      <c r="T4" s="59"/>
      <c r="U4" s="60"/>
      <c r="V4" s="59"/>
      <c r="W4" s="59"/>
      <c r="X4" s="59"/>
      <c r="Y4" s="59"/>
      <c r="Z4" s="58"/>
      <c r="AA4" s="59"/>
      <c r="AB4" s="59"/>
      <c r="AC4" s="59"/>
      <c r="AD4" s="58"/>
      <c r="AE4" s="59"/>
      <c r="AF4" s="59"/>
      <c r="AG4" s="60"/>
      <c r="AH4" s="59"/>
      <c r="AI4" s="59"/>
      <c r="AJ4" s="59"/>
      <c r="AK4" s="59"/>
      <c r="AL4" s="58"/>
      <c r="AM4" s="59"/>
      <c r="AN4" s="59"/>
      <c r="AO4" s="60"/>
      <c r="AP4" s="62">
        <v>3</v>
      </c>
      <c r="AQ4" s="62">
        <v>3</v>
      </c>
      <c r="AR4" s="62">
        <v>3</v>
      </c>
      <c r="AS4" s="62">
        <v>3</v>
      </c>
      <c r="AT4" s="31">
        <v>12</v>
      </c>
      <c r="AU4" s="32">
        <v>0.75</v>
      </c>
      <c r="AV4" s="63">
        <v>4</v>
      </c>
      <c r="AW4" s="63"/>
    </row>
    <row r="5" spans="1:49" x14ac:dyDescent="0.3">
      <c r="A5" s="3" t="s">
        <v>73</v>
      </c>
      <c r="B5" s="9" t="s">
        <v>57</v>
      </c>
      <c r="C5" s="64" t="s">
        <v>57</v>
      </c>
      <c r="D5" s="64" t="s">
        <v>57</v>
      </c>
      <c r="E5" s="49" t="s">
        <v>57</v>
      </c>
      <c r="F5" s="64" t="s">
        <v>57</v>
      </c>
      <c r="G5" s="64" t="s">
        <v>57</v>
      </c>
      <c r="H5" s="64" t="s">
        <v>57</v>
      </c>
      <c r="I5" s="64" t="s">
        <v>133</v>
      </c>
      <c r="J5" s="9" t="s">
        <v>133</v>
      </c>
      <c r="K5" s="64" t="s">
        <v>133</v>
      </c>
      <c r="L5" s="64" t="s">
        <v>133</v>
      </c>
      <c r="M5" s="49" t="s">
        <v>57</v>
      </c>
      <c r="N5" s="64" t="s">
        <v>57</v>
      </c>
      <c r="O5" s="64" t="s">
        <v>57</v>
      </c>
      <c r="P5" s="64" t="s">
        <v>57</v>
      </c>
      <c r="Q5" s="64" t="s">
        <v>133</v>
      </c>
      <c r="R5" s="9"/>
      <c r="S5" s="64"/>
      <c r="T5" s="64"/>
      <c r="U5" s="49"/>
      <c r="V5" s="64"/>
      <c r="W5" s="64"/>
      <c r="X5" s="64"/>
      <c r="Y5" s="64"/>
      <c r="Z5" s="9"/>
      <c r="AA5" s="64"/>
      <c r="AB5" s="64"/>
      <c r="AC5" s="64"/>
      <c r="AD5" s="9"/>
      <c r="AE5" s="64"/>
      <c r="AF5" s="64"/>
      <c r="AG5" s="49"/>
      <c r="AH5" s="64"/>
      <c r="AI5" s="64"/>
      <c r="AJ5" s="64"/>
      <c r="AK5" s="64"/>
      <c r="AL5" s="9"/>
      <c r="AM5" s="64"/>
      <c r="AN5" s="64"/>
      <c r="AO5" s="49"/>
      <c r="AP5" s="36">
        <v>3</v>
      </c>
      <c r="AQ5" s="36">
        <v>3</v>
      </c>
      <c r="AR5" s="36">
        <v>3</v>
      </c>
      <c r="AS5" s="36">
        <v>2</v>
      </c>
      <c r="AT5" s="65">
        <v>11</v>
      </c>
      <c r="AU5" s="33">
        <v>0.6875</v>
      </c>
      <c r="AV5" s="1">
        <v>4</v>
      </c>
      <c r="AW5" s="1"/>
    </row>
    <row r="6" spans="1:49" x14ac:dyDescent="0.3">
      <c r="A6" s="4" t="s">
        <v>83</v>
      </c>
      <c r="B6" s="38"/>
      <c r="C6" s="66"/>
      <c r="D6" s="66"/>
      <c r="E6" s="67"/>
      <c r="F6" s="66" t="s">
        <v>133</v>
      </c>
      <c r="G6" s="66" t="s">
        <v>133</v>
      </c>
      <c r="H6" s="66" t="s">
        <v>133</v>
      </c>
      <c r="I6" s="66" t="s">
        <v>133</v>
      </c>
      <c r="J6" s="38" t="s">
        <v>133</v>
      </c>
      <c r="K6" s="66" t="s">
        <v>133</v>
      </c>
      <c r="L6" s="66" t="s">
        <v>133</v>
      </c>
      <c r="M6" s="67" t="s">
        <v>133</v>
      </c>
      <c r="N6" s="66" t="s">
        <v>133</v>
      </c>
      <c r="O6" s="66" t="s">
        <v>133</v>
      </c>
      <c r="P6" s="66" t="s">
        <v>57</v>
      </c>
      <c r="Q6" s="66" t="s">
        <v>57</v>
      </c>
      <c r="R6" s="38"/>
      <c r="S6" s="66"/>
      <c r="T6" s="66"/>
      <c r="U6" s="67"/>
      <c r="V6" s="66"/>
      <c r="W6" s="66"/>
      <c r="X6" s="66"/>
      <c r="Y6" s="66"/>
      <c r="Z6" s="38"/>
      <c r="AA6" s="66"/>
      <c r="AB6" s="66"/>
      <c r="AC6" s="66"/>
      <c r="AD6" s="38"/>
      <c r="AE6" s="66"/>
      <c r="AF6" s="66"/>
      <c r="AG6" s="67"/>
      <c r="AH6" s="66"/>
      <c r="AI6" s="66"/>
      <c r="AJ6" s="66"/>
      <c r="AK6" s="66"/>
      <c r="AL6" s="38"/>
      <c r="AM6" s="66"/>
      <c r="AN6" s="66"/>
      <c r="AO6" s="67"/>
      <c r="AP6" s="62">
        <v>0</v>
      </c>
      <c r="AQ6" s="62">
        <v>0</v>
      </c>
      <c r="AR6" s="62">
        <v>1</v>
      </c>
      <c r="AS6" s="62">
        <v>1</v>
      </c>
      <c r="AT6" s="31">
        <v>2</v>
      </c>
      <c r="AU6" s="32">
        <v>0.16666666666666666</v>
      </c>
      <c r="AV6" s="63">
        <v>3</v>
      </c>
      <c r="AW6" s="63"/>
    </row>
    <row r="7" spans="1:49" x14ac:dyDescent="0.3">
      <c r="A7" s="3" t="s">
        <v>90</v>
      </c>
      <c r="B7" s="9"/>
      <c r="C7" s="64"/>
      <c r="D7" s="64"/>
      <c r="E7" s="49"/>
      <c r="F7" s="64" t="s">
        <v>57</v>
      </c>
      <c r="G7" s="64" t="s">
        <v>57</v>
      </c>
      <c r="H7" s="64" t="s">
        <v>57</v>
      </c>
      <c r="I7" s="64" t="s">
        <v>57</v>
      </c>
      <c r="J7" s="9" t="s">
        <v>57</v>
      </c>
      <c r="K7" s="64" t="s">
        <v>57</v>
      </c>
      <c r="L7" s="64" t="s">
        <v>57</v>
      </c>
      <c r="M7" s="49" t="s">
        <v>57</v>
      </c>
      <c r="N7" s="64" t="s">
        <v>57</v>
      </c>
      <c r="O7" s="64" t="s">
        <v>57</v>
      </c>
      <c r="P7" s="64" t="s">
        <v>57</v>
      </c>
      <c r="Q7" s="64" t="s">
        <v>57</v>
      </c>
      <c r="R7" s="9"/>
      <c r="S7" s="64"/>
      <c r="T7" s="64"/>
      <c r="U7" s="49"/>
      <c r="V7" s="64"/>
      <c r="W7" s="64"/>
      <c r="X7" s="64"/>
      <c r="Y7" s="64"/>
      <c r="Z7" s="9"/>
      <c r="AA7" s="64"/>
      <c r="AB7" s="64"/>
      <c r="AC7" s="64"/>
      <c r="AD7" s="9"/>
      <c r="AE7" s="64"/>
      <c r="AF7" s="64"/>
      <c r="AG7" s="49"/>
      <c r="AH7" s="64"/>
      <c r="AI7" s="64"/>
      <c r="AJ7" s="64"/>
      <c r="AK7" s="64"/>
      <c r="AL7" s="9"/>
      <c r="AM7" s="64"/>
      <c r="AN7" s="64"/>
      <c r="AO7" s="49"/>
      <c r="AP7" s="36">
        <v>3</v>
      </c>
      <c r="AQ7" s="36">
        <v>3</v>
      </c>
      <c r="AR7" s="36">
        <v>3</v>
      </c>
      <c r="AS7" s="36">
        <v>3</v>
      </c>
      <c r="AT7" s="65">
        <v>12</v>
      </c>
      <c r="AU7" s="33">
        <v>1</v>
      </c>
      <c r="AV7" s="1">
        <v>3</v>
      </c>
      <c r="AW7" s="1"/>
    </row>
    <row r="8" spans="1:49" x14ac:dyDescent="0.3">
      <c r="A8" s="4"/>
      <c r="B8" s="38"/>
      <c r="C8" s="66"/>
      <c r="D8" s="66"/>
      <c r="E8" s="67"/>
      <c r="F8" s="66"/>
      <c r="G8" s="66" t="s">
        <v>67</v>
      </c>
      <c r="H8" s="66"/>
      <c r="I8" s="66"/>
      <c r="J8" s="38"/>
      <c r="K8" s="66"/>
      <c r="L8" s="66"/>
      <c r="M8" s="67"/>
      <c r="N8" s="66"/>
      <c r="O8" s="66"/>
      <c r="P8" s="66"/>
      <c r="Q8" s="66"/>
      <c r="R8" s="38"/>
      <c r="S8" s="66"/>
      <c r="T8" s="66"/>
      <c r="U8" s="67"/>
      <c r="V8" s="66"/>
      <c r="W8" s="66"/>
      <c r="X8" s="66"/>
      <c r="Y8" s="66"/>
      <c r="Z8" s="38"/>
      <c r="AA8" s="66"/>
      <c r="AB8" s="66"/>
      <c r="AC8" s="66"/>
      <c r="AD8" s="38"/>
      <c r="AE8" s="66"/>
      <c r="AF8" s="66"/>
      <c r="AG8" s="67"/>
      <c r="AH8" s="66"/>
      <c r="AI8" s="66"/>
      <c r="AJ8" s="66"/>
      <c r="AK8" s="66"/>
      <c r="AL8" s="38"/>
      <c r="AM8" s="66"/>
      <c r="AN8" s="66"/>
      <c r="AO8" s="67"/>
      <c r="AP8" s="62"/>
      <c r="AQ8" s="62"/>
      <c r="AR8" s="62"/>
      <c r="AS8" s="62"/>
      <c r="AT8" s="31"/>
      <c r="AU8" s="32"/>
      <c r="AV8" s="63"/>
      <c r="AW8" s="63"/>
    </row>
    <row r="9" spans="1:49" x14ac:dyDescent="0.3">
      <c r="A9" s="3" t="s">
        <v>123</v>
      </c>
      <c r="B9" s="9"/>
      <c r="C9" s="64"/>
      <c r="D9" s="64"/>
      <c r="E9" s="49"/>
      <c r="F9" s="64" t="s">
        <v>57</v>
      </c>
      <c r="G9" s="64" t="s">
        <v>57</v>
      </c>
      <c r="H9" s="64" t="s">
        <v>57</v>
      </c>
      <c r="I9" s="64" t="s">
        <v>57</v>
      </c>
      <c r="J9" s="9"/>
      <c r="K9" s="64"/>
      <c r="L9" s="64"/>
      <c r="M9" s="49"/>
      <c r="N9" s="64"/>
      <c r="O9" s="64"/>
      <c r="P9" s="64"/>
      <c r="Q9" s="64"/>
      <c r="R9" s="9"/>
      <c r="S9" s="64"/>
      <c r="T9" s="64"/>
      <c r="U9" s="49"/>
      <c r="V9" s="64"/>
      <c r="W9" s="64"/>
      <c r="X9" s="64"/>
      <c r="Y9" s="64"/>
      <c r="Z9" s="9"/>
      <c r="AA9" s="64"/>
      <c r="AB9" s="64"/>
      <c r="AC9" s="64"/>
      <c r="AD9" s="9"/>
      <c r="AE9" s="64"/>
      <c r="AF9" s="64"/>
      <c r="AG9" s="49"/>
      <c r="AH9" s="64"/>
      <c r="AI9" s="64"/>
      <c r="AJ9" s="64"/>
      <c r="AK9" s="64"/>
      <c r="AL9" s="9"/>
      <c r="AM9" s="64"/>
      <c r="AN9" s="64"/>
      <c r="AO9" s="49"/>
      <c r="AP9" s="36">
        <v>1</v>
      </c>
      <c r="AQ9" s="36">
        <v>1</v>
      </c>
      <c r="AR9" s="36">
        <v>1</v>
      </c>
      <c r="AS9" s="36">
        <v>1</v>
      </c>
      <c r="AT9" s="65">
        <v>4</v>
      </c>
      <c r="AU9" s="33">
        <v>1</v>
      </c>
      <c r="AV9" s="1">
        <v>1</v>
      </c>
      <c r="AW9" s="1"/>
    </row>
    <row r="10" spans="1:49" x14ac:dyDescent="0.3">
      <c r="A10" s="4" t="s">
        <v>130</v>
      </c>
      <c r="B10" s="38" t="s">
        <v>132</v>
      </c>
      <c r="C10" s="66" t="s">
        <v>132</v>
      </c>
      <c r="D10" s="66" t="s">
        <v>132</v>
      </c>
      <c r="E10" s="67" t="s">
        <v>129</v>
      </c>
      <c r="F10" s="66"/>
      <c r="G10" s="66"/>
      <c r="H10" s="66"/>
      <c r="I10" s="66"/>
      <c r="J10" s="38"/>
      <c r="K10" s="66"/>
      <c r="L10" s="66"/>
      <c r="M10" s="67"/>
      <c r="N10" s="66"/>
      <c r="O10" s="66"/>
      <c r="P10" s="66"/>
      <c r="Q10" s="66"/>
      <c r="R10" s="38"/>
      <c r="S10" s="66"/>
      <c r="T10" s="66"/>
      <c r="U10" s="67"/>
      <c r="V10" s="66"/>
      <c r="W10" s="66"/>
      <c r="X10" s="66"/>
      <c r="Y10" s="66"/>
      <c r="Z10" s="38"/>
      <c r="AA10" s="66"/>
      <c r="AB10" s="66"/>
      <c r="AC10" s="66"/>
      <c r="AD10" s="38"/>
      <c r="AE10" s="66"/>
      <c r="AF10" s="66"/>
      <c r="AG10" s="67"/>
      <c r="AH10" s="66"/>
      <c r="AI10" s="66"/>
      <c r="AJ10" s="66"/>
      <c r="AK10" s="66"/>
      <c r="AL10" s="38"/>
      <c r="AM10" s="66"/>
      <c r="AN10" s="66"/>
      <c r="AO10" s="67"/>
      <c r="AP10" s="62">
        <v>0</v>
      </c>
      <c r="AQ10" s="62">
        <v>0</v>
      </c>
      <c r="AR10" s="62">
        <v>0</v>
      </c>
      <c r="AS10" s="62">
        <v>1</v>
      </c>
      <c r="AT10" s="31">
        <v>1</v>
      </c>
      <c r="AU10" s="32">
        <v>0.25</v>
      </c>
      <c r="AV10" s="63">
        <v>1</v>
      </c>
      <c r="AW10" s="63"/>
    </row>
    <row r="11" spans="1:49" x14ac:dyDescent="0.3">
      <c r="A11" s="3"/>
      <c r="B11" s="9"/>
      <c r="C11" s="64"/>
      <c r="D11" s="64"/>
      <c r="E11" s="49"/>
      <c r="F11" s="64"/>
      <c r="G11" s="64"/>
      <c r="H11" s="64"/>
      <c r="I11" s="64"/>
      <c r="J11" s="9"/>
      <c r="K11" s="64"/>
      <c r="L11" s="64"/>
      <c r="M11" s="49"/>
      <c r="N11" s="64"/>
      <c r="O11" s="64"/>
      <c r="P11" s="64"/>
      <c r="Q11" s="64"/>
      <c r="R11" s="9"/>
      <c r="S11" s="64"/>
      <c r="T11" s="64"/>
      <c r="U11" s="49"/>
      <c r="V11" s="64"/>
      <c r="W11" s="64"/>
      <c r="X11" s="64"/>
      <c r="Y11" s="64"/>
      <c r="Z11" s="9"/>
      <c r="AA11" s="64"/>
      <c r="AB11" s="64"/>
      <c r="AC11" s="64"/>
      <c r="AD11" s="9"/>
      <c r="AE11" s="64"/>
      <c r="AF11" s="64"/>
      <c r="AG11" s="49"/>
      <c r="AH11" s="64"/>
      <c r="AI11" s="64"/>
      <c r="AJ11" s="64"/>
      <c r="AK11" s="64"/>
      <c r="AL11" s="9"/>
      <c r="AM11" s="64"/>
      <c r="AN11" s="64"/>
      <c r="AO11" s="49"/>
      <c r="AP11" s="36"/>
      <c r="AQ11" s="36"/>
      <c r="AR11" s="36"/>
      <c r="AS11" s="36"/>
      <c r="AT11" s="65"/>
      <c r="AU11" s="33"/>
      <c r="AV11" s="1"/>
      <c r="AW11" s="1"/>
    </row>
    <row r="12" spans="1:49" x14ac:dyDescent="0.3">
      <c r="A12" s="4"/>
      <c r="B12" s="38"/>
      <c r="C12" s="66"/>
      <c r="D12" s="66"/>
      <c r="E12" s="67"/>
      <c r="F12" s="66"/>
      <c r="G12" s="66"/>
      <c r="H12" s="66"/>
      <c r="I12" s="66"/>
      <c r="J12" s="38"/>
      <c r="K12" s="66"/>
      <c r="L12" s="66"/>
      <c r="M12" s="67"/>
      <c r="N12" s="66"/>
      <c r="O12" s="66"/>
      <c r="P12" s="66"/>
      <c r="Q12" s="66"/>
      <c r="R12" s="38"/>
      <c r="S12" s="66"/>
      <c r="T12" s="66"/>
      <c r="U12" s="67"/>
      <c r="V12" s="66"/>
      <c r="W12" s="66"/>
      <c r="X12" s="66"/>
      <c r="Y12" s="66"/>
      <c r="Z12" s="38"/>
      <c r="AA12" s="66"/>
      <c r="AB12" s="66"/>
      <c r="AC12" s="66"/>
      <c r="AD12" s="38"/>
      <c r="AE12" s="66"/>
      <c r="AF12" s="66"/>
      <c r="AG12" s="67"/>
      <c r="AH12" s="66"/>
      <c r="AI12" s="66"/>
      <c r="AJ12" s="66"/>
      <c r="AK12" s="66"/>
      <c r="AL12" s="38"/>
      <c r="AM12" s="66"/>
      <c r="AN12" s="66"/>
      <c r="AO12" s="67"/>
      <c r="AP12" s="62"/>
      <c r="AQ12" s="62"/>
      <c r="AR12" s="62"/>
      <c r="AS12" s="62"/>
      <c r="AT12" s="31"/>
      <c r="AU12" s="32"/>
      <c r="AV12" s="63"/>
      <c r="AW12" s="63"/>
    </row>
    <row r="13" spans="1:49" x14ac:dyDescent="0.3">
      <c r="A13" s="3"/>
      <c r="B13" s="9"/>
      <c r="C13" s="64"/>
      <c r="D13" s="64"/>
      <c r="E13" s="49"/>
      <c r="F13" s="64"/>
      <c r="G13" s="64"/>
      <c r="H13" s="64"/>
      <c r="I13" s="64"/>
      <c r="J13" s="9"/>
      <c r="K13" s="64"/>
      <c r="L13" s="64"/>
      <c r="M13" s="49"/>
      <c r="N13" s="64"/>
      <c r="O13" s="64"/>
      <c r="P13" s="64"/>
      <c r="Q13" s="64"/>
      <c r="R13" s="9"/>
      <c r="S13" s="64"/>
      <c r="T13" s="64"/>
      <c r="U13" s="49"/>
      <c r="V13" s="64"/>
      <c r="W13" s="64"/>
      <c r="X13" s="64"/>
      <c r="Y13" s="64"/>
      <c r="Z13" s="9"/>
      <c r="AA13" s="64"/>
      <c r="AB13" s="64"/>
      <c r="AC13" s="64"/>
      <c r="AD13" s="9"/>
      <c r="AE13" s="64"/>
      <c r="AF13" s="64"/>
      <c r="AG13" s="49"/>
      <c r="AH13" s="64"/>
      <c r="AI13" s="64"/>
      <c r="AJ13" s="64"/>
      <c r="AK13" s="64"/>
      <c r="AL13" s="9"/>
      <c r="AM13" s="64"/>
      <c r="AN13" s="64"/>
      <c r="AO13" s="49"/>
      <c r="AP13" s="36"/>
      <c r="AQ13" s="36"/>
      <c r="AR13" s="36"/>
      <c r="AS13" s="36"/>
      <c r="AT13" s="65"/>
      <c r="AU13" s="33"/>
      <c r="AV13" s="1"/>
      <c r="AW13" s="1"/>
    </row>
    <row r="14" spans="1:49" x14ac:dyDescent="0.3">
      <c r="A14" s="4"/>
      <c r="B14" s="38"/>
      <c r="C14" s="66"/>
      <c r="D14" s="66"/>
      <c r="E14" s="67"/>
      <c r="F14" s="66"/>
      <c r="G14" s="66"/>
      <c r="H14" s="66"/>
      <c r="I14" s="66"/>
      <c r="J14" s="38"/>
      <c r="K14" s="66"/>
      <c r="L14" s="66"/>
      <c r="M14" s="67"/>
      <c r="N14" s="66"/>
      <c r="O14" s="66"/>
      <c r="P14" s="66"/>
      <c r="Q14" s="66"/>
      <c r="R14" s="38"/>
      <c r="S14" s="66"/>
      <c r="T14" s="66"/>
      <c r="U14" s="67"/>
      <c r="V14" s="66"/>
      <c r="W14" s="66"/>
      <c r="X14" s="66"/>
      <c r="Y14" s="66"/>
      <c r="Z14" s="38"/>
      <c r="AA14" s="66"/>
      <c r="AB14" s="66"/>
      <c r="AC14" s="66"/>
      <c r="AD14" s="38"/>
      <c r="AE14" s="66"/>
      <c r="AF14" s="66"/>
      <c r="AG14" s="67"/>
      <c r="AH14" s="66"/>
      <c r="AI14" s="66"/>
      <c r="AJ14" s="66"/>
      <c r="AK14" s="66"/>
      <c r="AL14" s="38"/>
      <c r="AM14" s="66"/>
      <c r="AN14" s="66"/>
      <c r="AO14" s="67"/>
      <c r="AP14" s="62"/>
      <c r="AQ14" s="62"/>
      <c r="AR14" s="62"/>
      <c r="AS14" s="62"/>
      <c r="AT14" s="31"/>
      <c r="AU14" s="32"/>
      <c r="AV14" s="63"/>
      <c r="AW14" s="63"/>
    </row>
    <row r="15" spans="1:49" x14ac:dyDescent="0.3">
      <c r="A15" s="3"/>
      <c r="B15" s="9"/>
      <c r="C15" s="64"/>
      <c r="D15" s="64"/>
      <c r="E15" s="49"/>
      <c r="F15" s="64"/>
      <c r="G15" s="64"/>
      <c r="H15" s="64"/>
      <c r="I15" s="64"/>
      <c r="J15" s="9"/>
      <c r="K15" s="64"/>
      <c r="L15" s="64"/>
      <c r="M15" s="49"/>
      <c r="N15" s="64"/>
      <c r="O15" s="64"/>
      <c r="P15" s="64"/>
      <c r="Q15" s="64"/>
      <c r="R15" s="9"/>
      <c r="S15" s="64"/>
      <c r="T15" s="64"/>
      <c r="U15" s="49"/>
      <c r="V15" s="64"/>
      <c r="W15" s="64"/>
      <c r="X15" s="64"/>
      <c r="Y15" s="64"/>
      <c r="Z15" s="9"/>
      <c r="AA15" s="64"/>
      <c r="AB15" s="64"/>
      <c r="AC15" s="64"/>
      <c r="AD15" s="9"/>
      <c r="AE15" s="64"/>
      <c r="AF15" s="64"/>
      <c r="AG15" s="49"/>
      <c r="AH15" s="64"/>
      <c r="AI15" s="64"/>
      <c r="AJ15" s="64"/>
      <c r="AK15" s="64"/>
      <c r="AL15" s="9"/>
      <c r="AM15" s="64"/>
      <c r="AN15" s="64"/>
      <c r="AO15" s="49"/>
      <c r="AP15" s="36"/>
      <c r="AQ15" s="36"/>
      <c r="AR15" s="36"/>
      <c r="AS15" s="36"/>
      <c r="AT15" s="65"/>
      <c r="AU15" s="33"/>
      <c r="AV15" s="1"/>
      <c r="AW15" s="1"/>
    </row>
    <row r="16" spans="1:49" x14ac:dyDescent="0.3">
      <c r="A16" s="4"/>
      <c r="B16" s="38"/>
      <c r="C16" s="66"/>
      <c r="D16" s="66"/>
      <c r="E16" s="67"/>
      <c r="F16" s="66"/>
      <c r="G16" s="66"/>
      <c r="H16" s="66"/>
      <c r="I16" s="66"/>
      <c r="J16" s="38"/>
      <c r="K16" s="66"/>
      <c r="L16" s="66"/>
      <c r="M16" s="67"/>
      <c r="N16" s="66"/>
      <c r="O16" s="66"/>
      <c r="P16" s="66"/>
      <c r="Q16" s="66"/>
      <c r="R16" s="38"/>
      <c r="S16" s="66"/>
      <c r="T16" s="66"/>
      <c r="U16" s="67"/>
      <c r="V16" s="66"/>
      <c r="W16" s="66"/>
      <c r="X16" s="66"/>
      <c r="Y16" s="66"/>
      <c r="Z16" s="38"/>
      <c r="AA16" s="66"/>
      <c r="AB16" s="66"/>
      <c r="AC16" s="66"/>
      <c r="AD16" s="38"/>
      <c r="AE16" s="66"/>
      <c r="AF16" s="66"/>
      <c r="AG16" s="67"/>
      <c r="AH16" s="66"/>
      <c r="AI16" s="66"/>
      <c r="AJ16" s="66"/>
      <c r="AK16" s="66"/>
      <c r="AL16" s="38"/>
      <c r="AM16" s="66"/>
      <c r="AN16" s="66"/>
      <c r="AO16" s="67"/>
      <c r="AP16" s="62"/>
      <c r="AQ16" s="62"/>
      <c r="AR16" s="62"/>
      <c r="AS16" s="62"/>
      <c r="AT16" s="31"/>
      <c r="AU16" s="32"/>
      <c r="AV16" s="63"/>
      <c r="AW16" s="63"/>
    </row>
    <row r="17" spans="1:49" x14ac:dyDescent="0.3">
      <c r="A17" s="3"/>
      <c r="B17" s="9"/>
      <c r="C17" s="64"/>
      <c r="D17" s="64"/>
      <c r="E17" s="49"/>
      <c r="F17" s="64"/>
      <c r="G17" s="64"/>
      <c r="H17" s="64"/>
      <c r="I17" s="64"/>
      <c r="J17" s="9"/>
      <c r="K17" s="64"/>
      <c r="L17" s="64"/>
      <c r="M17" s="49"/>
      <c r="N17" s="64"/>
      <c r="O17" s="64"/>
      <c r="P17" s="64"/>
      <c r="Q17" s="64"/>
      <c r="R17" s="9"/>
      <c r="S17" s="64"/>
      <c r="T17" s="64"/>
      <c r="U17" s="49"/>
      <c r="V17" s="64"/>
      <c r="W17" s="64"/>
      <c r="X17" s="64"/>
      <c r="Y17" s="64"/>
      <c r="Z17" s="9"/>
      <c r="AA17" s="64"/>
      <c r="AB17" s="64"/>
      <c r="AC17" s="64"/>
      <c r="AD17" s="9"/>
      <c r="AE17" s="64"/>
      <c r="AF17" s="64"/>
      <c r="AG17" s="49"/>
      <c r="AH17" s="64"/>
      <c r="AI17" s="64"/>
      <c r="AJ17" s="64"/>
      <c r="AK17" s="64"/>
      <c r="AL17" s="9"/>
      <c r="AM17" s="64"/>
      <c r="AN17" s="64"/>
      <c r="AO17" s="49"/>
      <c r="AP17" s="36"/>
      <c r="AQ17" s="36"/>
      <c r="AR17" s="36"/>
      <c r="AS17" s="36"/>
      <c r="AT17" s="65"/>
      <c r="AU17" s="33"/>
      <c r="AV17" s="1"/>
      <c r="AW17" s="1"/>
    </row>
    <row r="18" spans="1:49" x14ac:dyDescent="0.3">
      <c r="A18" s="4"/>
      <c r="B18" s="38"/>
      <c r="C18" s="66"/>
      <c r="D18" s="66"/>
      <c r="E18" s="67"/>
      <c r="F18" s="66"/>
      <c r="G18" s="66"/>
      <c r="H18" s="66"/>
      <c r="I18" s="66"/>
      <c r="J18" s="38"/>
      <c r="K18" s="66"/>
      <c r="L18" s="66"/>
      <c r="M18" s="67"/>
      <c r="N18" s="66"/>
      <c r="O18" s="66"/>
      <c r="P18" s="66"/>
      <c r="Q18" s="66"/>
      <c r="R18" s="38"/>
      <c r="S18" s="66"/>
      <c r="T18" s="66"/>
      <c r="U18" s="67"/>
      <c r="V18" s="66"/>
      <c r="W18" s="66"/>
      <c r="X18" s="66"/>
      <c r="Y18" s="66"/>
      <c r="Z18" s="38"/>
      <c r="AA18" s="66"/>
      <c r="AB18" s="66"/>
      <c r="AC18" s="66"/>
      <c r="AD18" s="38"/>
      <c r="AE18" s="66"/>
      <c r="AF18" s="66"/>
      <c r="AG18" s="67"/>
      <c r="AH18" s="66"/>
      <c r="AI18" s="66"/>
      <c r="AJ18" s="66"/>
      <c r="AK18" s="66"/>
      <c r="AL18" s="38"/>
      <c r="AM18" s="66"/>
      <c r="AN18" s="66"/>
      <c r="AO18" s="67"/>
      <c r="AP18" s="62"/>
      <c r="AQ18" s="62"/>
      <c r="AR18" s="62"/>
      <c r="AS18" s="62"/>
      <c r="AT18" s="31"/>
      <c r="AU18" s="32"/>
      <c r="AV18" s="63"/>
      <c r="AW18" s="63"/>
    </row>
    <row r="19" spans="1:49" x14ac:dyDescent="0.3">
      <c r="A19" s="3"/>
      <c r="B19" s="9"/>
      <c r="C19" s="64"/>
      <c r="D19" s="64"/>
      <c r="E19" s="49"/>
      <c r="F19" s="64"/>
      <c r="G19" s="64"/>
      <c r="H19" s="64"/>
      <c r="I19" s="64"/>
      <c r="J19" s="9"/>
      <c r="K19" s="64"/>
      <c r="L19" s="64"/>
      <c r="M19" s="49"/>
      <c r="N19" s="64"/>
      <c r="O19" s="64"/>
      <c r="P19" s="64"/>
      <c r="Q19" s="64"/>
      <c r="R19" s="9"/>
      <c r="S19" s="64"/>
      <c r="T19" s="64"/>
      <c r="U19" s="49"/>
      <c r="V19" s="64"/>
      <c r="W19" s="64"/>
      <c r="X19" s="64"/>
      <c r="Y19" s="64"/>
      <c r="Z19" s="9"/>
      <c r="AA19" s="64"/>
      <c r="AB19" s="64"/>
      <c r="AC19" s="64"/>
      <c r="AD19" s="9"/>
      <c r="AE19" s="64"/>
      <c r="AF19" s="64"/>
      <c r="AG19" s="49"/>
      <c r="AH19" s="64"/>
      <c r="AI19" s="64"/>
      <c r="AJ19" s="64"/>
      <c r="AK19" s="64"/>
      <c r="AL19" s="9"/>
      <c r="AM19" s="64"/>
      <c r="AN19" s="64"/>
      <c r="AO19" s="49"/>
      <c r="AP19" s="36"/>
      <c r="AQ19" s="36"/>
      <c r="AR19" s="36"/>
      <c r="AS19" s="36"/>
      <c r="AT19" s="65"/>
      <c r="AU19" s="33"/>
      <c r="AV19" s="1"/>
      <c r="AW19" s="1"/>
    </row>
    <row r="20" spans="1:49" x14ac:dyDescent="0.3">
      <c r="A20" s="4"/>
      <c r="B20" s="38"/>
      <c r="C20" s="66"/>
      <c r="D20" s="66"/>
      <c r="E20" s="67"/>
      <c r="F20" s="66"/>
      <c r="G20" s="66"/>
      <c r="H20" s="66"/>
      <c r="I20" s="66"/>
      <c r="J20" s="38"/>
      <c r="K20" s="66"/>
      <c r="L20" s="66"/>
      <c r="M20" s="67"/>
      <c r="N20" s="66"/>
      <c r="O20" s="66"/>
      <c r="P20" s="66"/>
      <c r="Q20" s="66"/>
      <c r="R20" s="38"/>
      <c r="S20" s="66"/>
      <c r="T20" s="66"/>
      <c r="U20" s="67"/>
      <c r="V20" s="66"/>
      <c r="W20" s="66"/>
      <c r="X20" s="66"/>
      <c r="Y20" s="66"/>
      <c r="Z20" s="38"/>
      <c r="AA20" s="66"/>
      <c r="AB20" s="66"/>
      <c r="AC20" s="66"/>
      <c r="AD20" s="38"/>
      <c r="AE20" s="66"/>
      <c r="AF20" s="66"/>
      <c r="AG20" s="67"/>
      <c r="AH20" s="66"/>
      <c r="AI20" s="66"/>
      <c r="AJ20" s="66"/>
      <c r="AK20" s="66"/>
      <c r="AL20" s="38"/>
      <c r="AM20" s="66"/>
      <c r="AN20" s="66"/>
      <c r="AO20" s="67"/>
      <c r="AP20" s="62"/>
      <c r="AQ20" s="62"/>
      <c r="AR20" s="62"/>
      <c r="AS20" s="62"/>
      <c r="AT20" s="31"/>
      <c r="AU20" s="32"/>
      <c r="AV20" s="63"/>
      <c r="AW20" s="63"/>
    </row>
    <row r="21" spans="1:49" x14ac:dyDescent="0.3">
      <c r="A21" s="3"/>
      <c r="B21" s="9"/>
      <c r="C21" s="64"/>
      <c r="D21" s="64"/>
      <c r="E21" s="49"/>
      <c r="F21" s="64"/>
      <c r="G21" s="64"/>
      <c r="H21" s="64"/>
      <c r="I21" s="64"/>
      <c r="J21" s="9"/>
      <c r="K21" s="64"/>
      <c r="L21" s="64"/>
      <c r="M21" s="49"/>
      <c r="N21" s="64"/>
      <c r="O21" s="64"/>
      <c r="P21" s="64"/>
      <c r="Q21" s="64"/>
      <c r="R21" s="9"/>
      <c r="S21" s="64"/>
      <c r="T21" s="64"/>
      <c r="U21" s="49"/>
      <c r="V21" s="64"/>
      <c r="W21" s="64"/>
      <c r="X21" s="64"/>
      <c r="Y21" s="64"/>
      <c r="Z21" s="9"/>
      <c r="AA21" s="64"/>
      <c r="AB21" s="64"/>
      <c r="AC21" s="64"/>
      <c r="AD21" s="9"/>
      <c r="AE21" s="64"/>
      <c r="AF21" s="64"/>
      <c r="AG21" s="49"/>
      <c r="AH21" s="64"/>
      <c r="AI21" s="64"/>
      <c r="AJ21" s="64"/>
      <c r="AK21" s="64"/>
      <c r="AL21" s="9"/>
      <c r="AM21" s="64"/>
      <c r="AN21" s="64"/>
      <c r="AO21" s="49"/>
      <c r="AP21" s="36"/>
      <c r="AQ21" s="36"/>
      <c r="AR21" s="36"/>
      <c r="AS21" s="36"/>
      <c r="AT21" s="65"/>
      <c r="AU21" s="33"/>
      <c r="AV21" s="1"/>
      <c r="AW21" s="1"/>
    </row>
    <row r="22" spans="1:49" x14ac:dyDescent="0.3">
      <c r="A22" s="4"/>
      <c r="B22" s="38"/>
      <c r="C22" s="66"/>
      <c r="D22" s="66"/>
      <c r="E22" s="67"/>
      <c r="F22" s="66"/>
      <c r="G22" s="66"/>
      <c r="H22" s="66"/>
      <c r="I22" s="66"/>
      <c r="J22" s="38"/>
      <c r="K22" s="66"/>
      <c r="L22" s="66"/>
      <c r="M22" s="67"/>
      <c r="N22" s="66"/>
      <c r="O22" s="66"/>
      <c r="P22" s="66"/>
      <c r="Q22" s="66"/>
      <c r="R22" s="38"/>
      <c r="S22" s="66"/>
      <c r="T22" s="66"/>
      <c r="U22" s="67"/>
      <c r="V22" s="66"/>
      <c r="W22" s="66"/>
      <c r="X22" s="66"/>
      <c r="Y22" s="66"/>
      <c r="Z22" s="38"/>
      <c r="AA22" s="66"/>
      <c r="AB22" s="66"/>
      <c r="AC22" s="66"/>
      <c r="AD22" s="38"/>
      <c r="AE22" s="66"/>
      <c r="AF22" s="66"/>
      <c r="AG22" s="67"/>
      <c r="AH22" s="66"/>
      <c r="AI22" s="66"/>
      <c r="AJ22" s="66"/>
      <c r="AK22" s="66"/>
      <c r="AL22" s="38"/>
      <c r="AM22" s="66"/>
      <c r="AN22" s="66"/>
      <c r="AO22" s="67"/>
      <c r="AP22" s="62"/>
      <c r="AQ22" s="62"/>
      <c r="AR22" s="62"/>
      <c r="AS22" s="62"/>
      <c r="AT22" s="31"/>
      <c r="AU22" s="32"/>
      <c r="AV22" s="63"/>
      <c r="AW22" s="63"/>
    </row>
    <row r="23" spans="1:49" x14ac:dyDescent="0.3">
      <c r="A23" s="3"/>
      <c r="B23" s="9"/>
      <c r="C23" s="64"/>
      <c r="D23" s="64"/>
      <c r="E23" s="49"/>
      <c r="F23" s="64"/>
      <c r="G23" s="64"/>
      <c r="H23" s="64"/>
      <c r="I23" s="64"/>
      <c r="J23" s="9"/>
      <c r="K23" s="64"/>
      <c r="L23" s="64"/>
      <c r="M23" s="49"/>
      <c r="N23" s="64"/>
      <c r="O23" s="64"/>
      <c r="P23" s="64"/>
      <c r="Q23" s="64"/>
      <c r="R23" s="9"/>
      <c r="S23" s="64"/>
      <c r="T23" s="64"/>
      <c r="U23" s="49"/>
      <c r="V23" s="64"/>
      <c r="W23" s="64"/>
      <c r="X23" s="64"/>
      <c r="Y23" s="64"/>
      <c r="Z23" s="9"/>
      <c r="AA23" s="64"/>
      <c r="AB23" s="64"/>
      <c r="AC23" s="64"/>
      <c r="AD23" s="9"/>
      <c r="AE23" s="64"/>
      <c r="AF23" s="64"/>
      <c r="AG23" s="49"/>
      <c r="AH23" s="64"/>
      <c r="AI23" s="64"/>
      <c r="AJ23" s="64"/>
      <c r="AK23" s="64"/>
      <c r="AL23" s="9"/>
      <c r="AM23" s="64"/>
      <c r="AN23" s="64"/>
      <c r="AO23" s="49"/>
      <c r="AP23" s="36"/>
      <c r="AQ23" s="36"/>
      <c r="AR23" s="36"/>
      <c r="AS23" s="36"/>
      <c r="AT23" s="65"/>
      <c r="AU23" s="33"/>
      <c r="AV23" s="1"/>
      <c r="AW23" s="1"/>
    </row>
    <row r="24" spans="1:49" x14ac:dyDescent="0.3">
      <c r="A24" s="4"/>
      <c r="B24" s="38"/>
      <c r="C24" s="66"/>
      <c r="D24" s="66"/>
      <c r="E24" s="67"/>
      <c r="F24" s="66"/>
      <c r="G24" s="66"/>
      <c r="H24" s="66"/>
      <c r="I24" s="66"/>
      <c r="J24" s="38"/>
      <c r="K24" s="66"/>
      <c r="L24" s="66"/>
      <c r="M24" s="67"/>
      <c r="N24" s="66"/>
      <c r="O24" s="66"/>
      <c r="P24" s="66"/>
      <c r="Q24" s="66"/>
      <c r="R24" s="38"/>
      <c r="S24" s="66"/>
      <c r="T24" s="66"/>
      <c r="U24" s="67"/>
      <c r="V24" s="66"/>
      <c r="W24" s="66"/>
      <c r="X24" s="66"/>
      <c r="Y24" s="66"/>
      <c r="Z24" s="38"/>
      <c r="AA24" s="66"/>
      <c r="AB24" s="66"/>
      <c r="AC24" s="66"/>
      <c r="AD24" s="38"/>
      <c r="AE24" s="66"/>
      <c r="AF24" s="66"/>
      <c r="AG24" s="67"/>
      <c r="AH24" s="66"/>
      <c r="AI24" s="66"/>
      <c r="AJ24" s="66"/>
      <c r="AK24" s="66"/>
      <c r="AL24" s="38"/>
      <c r="AM24" s="66"/>
      <c r="AN24" s="66"/>
      <c r="AO24" s="67"/>
      <c r="AP24" s="62"/>
      <c r="AQ24" s="62"/>
      <c r="AR24" s="62"/>
      <c r="AS24" s="62"/>
      <c r="AT24" s="31"/>
      <c r="AU24" s="32"/>
      <c r="AV24" s="63"/>
      <c r="AW24" s="63"/>
    </row>
    <row r="25" spans="1:49" x14ac:dyDescent="0.3">
      <c r="A25" s="3"/>
      <c r="B25" s="9"/>
      <c r="C25" s="64"/>
      <c r="D25" s="64"/>
      <c r="E25" s="49"/>
      <c r="F25" s="64"/>
      <c r="G25" s="64"/>
      <c r="H25" s="64"/>
      <c r="I25" s="64"/>
      <c r="J25" s="9"/>
      <c r="K25" s="64"/>
      <c r="L25" s="64"/>
      <c r="M25" s="49"/>
      <c r="N25" s="64"/>
      <c r="O25" s="64"/>
      <c r="P25" s="64"/>
      <c r="Q25" s="64"/>
      <c r="R25" s="9"/>
      <c r="S25" s="64"/>
      <c r="T25" s="64"/>
      <c r="U25" s="49"/>
      <c r="V25" s="64"/>
      <c r="W25" s="64"/>
      <c r="X25" s="64"/>
      <c r="Y25" s="64"/>
      <c r="Z25" s="9"/>
      <c r="AA25" s="64"/>
      <c r="AB25" s="64"/>
      <c r="AC25" s="64"/>
      <c r="AD25" s="9"/>
      <c r="AE25" s="64"/>
      <c r="AF25" s="64"/>
      <c r="AG25" s="49"/>
      <c r="AH25" s="64"/>
      <c r="AI25" s="64"/>
      <c r="AJ25" s="64"/>
      <c r="AK25" s="64"/>
      <c r="AL25" s="9"/>
      <c r="AM25" s="64"/>
      <c r="AN25" s="64"/>
      <c r="AO25" s="49"/>
      <c r="AP25" s="36"/>
      <c r="AQ25" s="36"/>
      <c r="AR25" s="36"/>
      <c r="AS25" s="36"/>
      <c r="AT25" s="65"/>
      <c r="AU25" s="33"/>
      <c r="AV25" s="1"/>
      <c r="AW25" s="1"/>
    </row>
    <row r="26" spans="1:49" x14ac:dyDescent="0.3">
      <c r="A26" s="4"/>
      <c r="B26" s="38"/>
      <c r="C26" s="66"/>
      <c r="D26" s="66"/>
      <c r="E26" s="67"/>
      <c r="F26" s="66"/>
      <c r="G26" s="66"/>
      <c r="H26" s="66"/>
      <c r="I26" s="66"/>
      <c r="J26" s="38"/>
      <c r="K26" s="66"/>
      <c r="L26" s="66"/>
      <c r="M26" s="67"/>
      <c r="N26" s="66"/>
      <c r="O26" s="66"/>
      <c r="P26" s="66"/>
      <c r="Q26" s="66"/>
      <c r="R26" s="38"/>
      <c r="S26" s="66"/>
      <c r="T26" s="66"/>
      <c r="U26" s="67"/>
      <c r="V26" s="66"/>
      <c r="W26" s="66"/>
      <c r="X26" s="66"/>
      <c r="Y26" s="66"/>
      <c r="Z26" s="38"/>
      <c r="AA26" s="66"/>
      <c r="AB26" s="66"/>
      <c r="AC26" s="66"/>
      <c r="AD26" s="38"/>
      <c r="AE26" s="66"/>
      <c r="AF26" s="66"/>
      <c r="AG26" s="67"/>
      <c r="AH26" s="66"/>
      <c r="AI26" s="66"/>
      <c r="AJ26" s="66"/>
      <c r="AK26" s="66"/>
      <c r="AL26" s="38"/>
      <c r="AM26" s="66"/>
      <c r="AN26" s="66"/>
      <c r="AO26" s="67"/>
      <c r="AP26" s="62"/>
      <c r="AQ26" s="62"/>
      <c r="AR26" s="62"/>
      <c r="AS26" s="62"/>
      <c r="AT26" s="31"/>
      <c r="AU26" s="32"/>
      <c r="AV26" s="63"/>
      <c r="AW26" s="63"/>
    </row>
    <row r="27" spans="1:49" x14ac:dyDescent="0.3">
      <c r="A27" s="3"/>
      <c r="B27" s="9"/>
      <c r="C27" s="64"/>
      <c r="D27" s="64"/>
      <c r="E27" s="49"/>
      <c r="F27" s="64"/>
      <c r="G27" s="64"/>
      <c r="H27" s="64"/>
      <c r="I27" s="64"/>
      <c r="J27" s="9"/>
      <c r="K27" s="64"/>
      <c r="L27" s="64"/>
      <c r="M27" s="49"/>
      <c r="N27" s="64"/>
      <c r="O27" s="64"/>
      <c r="P27" s="64"/>
      <c r="Q27" s="64"/>
      <c r="R27" s="9"/>
      <c r="S27" s="64"/>
      <c r="T27" s="64"/>
      <c r="U27" s="49"/>
      <c r="V27" s="64"/>
      <c r="W27" s="64"/>
      <c r="X27" s="64"/>
      <c r="Y27" s="64"/>
      <c r="Z27" s="9"/>
      <c r="AA27" s="64"/>
      <c r="AB27" s="64"/>
      <c r="AC27" s="64"/>
      <c r="AD27" s="9"/>
      <c r="AE27" s="64"/>
      <c r="AF27" s="64"/>
      <c r="AG27" s="49"/>
      <c r="AH27" s="64"/>
      <c r="AI27" s="64"/>
      <c r="AJ27" s="64"/>
      <c r="AK27" s="64"/>
      <c r="AL27" s="9"/>
      <c r="AM27" s="64"/>
      <c r="AN27" s="64"/>
      <c r="AO27" s="49"/>
      <c r="AP27" s="36"/>
      <c r="AQ27" s="36"/>
      <c r="AR27" s="36"/>
      <c r="AS27" s="36"/>
      <c r="AT27" s="65"/>
      <c r="AU27" s="33"/>
      <c r="AV27" s="1"/>
      <c r="AW27" s="1"/>
    </row>
    <row r="28" spans="1:49" x14ac:dyDescent="0.3">
      <c r="A28" s="4"/>
      <c r="B28" s="38"/>
      <c r="C28" s="66"/>
      <c r="D28" s="66"/>
      <c r="E28" s="67"/>
      <c r="F28" s="66"/>
      <c r="G28" s="66"/>
      <c r="H28" s="66"/>
      <c r="I28" s="66"/>
      <c r="J28" s="38"/>
      <c r="K28" s="66"/>
      <c r="L28" s="66"/>
      <c r="M28" s="67"/>
      <c r="N28" s="66"/>
      <c r="O28" s="66"/>
      <c r="P28" s="66"/>
      <c r="Q28" s="66"/>
      <c r="R28" s="38"/>
      <c r="S28" s="66"/>
      <c r="T28" s="66"/>
      <c r="U28" s="67"/>
      <c r="V28" s="66"/>
      <c r="W28" s="66"/>
      <c r="X28" s="66"/>
      <c r="Y28" s="66"/>
      <c r="Z28" s="38"/>
      <c r="AA28" s="66"/>
      <c r="AB28" s="66"/>
      <c r="AC28" s="66"/>
      <c r="AD28" s="38"/>
      <c r="AE28" s="66"/>
      <c r="AF28" s="66"/>
      <c r="AG28" s="67"/>
      <c r="AH28" s="66"/>
      <c r="AI28" s="66"/>
      <c r="AJ28" s="66"/>
      <c r="AK28" s="66"/>
      <c r="AL28" s="38"/>
      <c r="AM28" s="66"/>
      <c r="AN28" s="66"/>
      <c r="AO28" s="67"/>
      <c r="AP28" s="62"/>
      <c r="AQ28" s="62"/>
      <c r="AR28" s="62"/>
      <c r="AS28" s="62"/>
      <c r="AT28" s="31"/>
      <c r="AU28" s="32"/>
      <c r="AV28" s="63"/>
      <c r="AW28" s="63"/>
    </row>
    <row r="29" spans="1:49" x14ac:dyDescent="0.3">
      <c r="A29" s="3"/>
      <c r="B29" s="9"/>
      <c r="C29" s="64"/>
      <c r="D29" s="64"/>
      <c r="E29" s="49"/>
      <c r="F29" s="64"/>
      <c r="G29" s="64"/>
      <c r="H29" s="64"/>
      <c r="I29" s="64"/>
      <c r="J29" s="9"/>
      <c r="K29" s="64"/>
      <c r="L29" s="64"/>
      <c r="M29" s="49"/>
      <c r="N29" s="64"/>
      <c r="O29" s="64"/>
      <c r="P29" s="64"/>
      <c r="Q29" s="64"/>
      <c r="R29" s="9"/>
      <c r="S29" s="64"/>
      <c r="T29" s="64"/>
      <c r="U29" s="49"/>
      <c r="V29" s="64"/>
      <c r="W29" s="64"/>
      <c r="X29" s="64"/>
      <c r="Y29" s="64"/>
      <c r="Z29" s="9"/>
      <c r="AA29" s="64"/>
      <c r="AB29" s="64"/>
      <c r="AC29" s="64"/>
      <c r="AD29" s="9"/>
      <c r="AE29" s="64"/>
      <c r="AF29" s="64"/>
      <c r="AG29" s="49"/>
      <c r="AH29" s="64"/>
      <c r="AI29" s="64"/>
      <c r="AJ29" s="64"/>
      <c r="AK29" s="64"/>
      <c r="AL29" s="9"/>
      <c r="AM29" s="64"/>
      <c r="AN29" s="64"/>
      <c r="AO29" s="49"/>
      <c r="AP29" s="36"/>
      <c r="AQ29" s="36"/>
      <c r="AR29" s="36"/>
      <c r="AS29" s="36"/>
      <c r="AT29" s="65"/>
      <c r="AU29" s="33"/>
      <c r="AV29" s="1"/>
      <c r="AW29" s="1"/>
    </row>
    <row r="30" spans="1:49" x14ac:dyDescent="0.3">
      <c r="A30" s="4"/>
      <c r="B30" s="38"/>
      <c r="C30" s="66"/>
      <c r="D30" s="66"/>
      <c r="E30" s="67"/>
      <c r="F30" s="66"/>
      <c r="G30" s="66"/>
      <c r="H30" s="66"/>
      <c r="I30" s="66"/>
      <c r="J30" s="38"/>
      <c r="K30" s="66"/>
      <c r="L30" s="66"/>
      <c r="M30" s="67"/>
      <c r="N30" s="66"/>
      <c r="O30" s="66"/>
      <c r="P30" s="66"/>
      <c r="Q30" s="66"/>
      <c r="R30" s="38"/>
      <c r="S30" s="66"/>
      <c r="T30" s="66"/>
      <c r="U30" s="67"/>
      <c r="V30" s="66"/>
      <c r="W30" s="66"/>
      <c r="X30" s="66"/>
      <c r="Y30" s="66"/>
      <c r="Z30" s="38"/>
      <c r="AA30" s="66"/>
      <c r="AB30" s="66"/>
      <c r="AC30" s="66"/>
      <c r="AD30" s="38"/>
      <c r="AE30" s="66"/>
      <c r="AF30" s="66"/>
      <c r="AG30" s="67"/>
      <c r="AH30" s="66"/>
      <c r="AI30" s="66"/>
      <c r="AJ30" s="66"/>
      <c r="AK30" s="66"/>
      <c r="AL30" s="38"/>
      <c r="AM30" s="66"/>
      <c r="AN30" s="66"/>
      <c r="AO30" s="67"/>
      <c r="AP30" s="62"/>
      <c r="AQ30" s="62"/>
      <c r="AR30" s="62"/>
      <c r="AS30" s="62"/>
      <c r="AT30" s="31"/>
      <c r="AU30" s="32"/>
      <c r="AV30" s="63"/>
      <c r="AW30" s="63"/>
    </row>
    <row r="31" spans="1:49" x14ac:dyDescent="0.3">
      <c r="A31" s="3"/>
      <c r="B31" s="9"/>
      <c r="C31" s="64"/>
      <c r="D31" s="64"/>
      <c r="E31" s="49"/>
      <c r="F31" s="64"/>
      <c r="G31" s="64"/>
      <c r="H31" s="64"/>
      <c r="I31" s="64"/>
      <c r="J31" s="9"/>
      <c r="K31" s="64"/>
      <c r="L31" s="64"/>
      <c r="M31" s="49"/>
      <c r="N31" s="64"/>
      <c r="O31" s="64"/>
      <c r="P31" s="64"/>
      <c r="Q31" s="64"/>
      <c r="R31" s="9"/>
      <c r="S31" s="64"/>
      <c r="T31" s="64"/>
      <c r="U31" s="49"/>
      <c r="V31" s="64"/>
      <c r="W31" s="64"/>
      <c r="X31" s="64"/>
      <c r="Y31" s="64"/>
      <c r="Z31" s="9"/>
      <c r="AA31" s="64"/>
      <c r="AB31" s="64"/>
      <c r="AC31" s="64"/>
      <c r="AD31" s="9"/>
      <c r="AE31" s="64"/>
      <c r="AF31" s="64"/>
      <c r="AG31" s="49"/>
      <c r="AH31" s="64"/>
      <c r="AI31" s="64"/>
      <c r="AJ31" s="64"/>
      <c r="AK31" s="64"/>
      <c r="AL31" s="9"/>
      <c r="AM31" s="64"/>
      <c r="AN31" s="64"/>
      <c r="AO31" s="49"/>
      <c r="AP31" s="36"/>
      <c r="AQ31" s="36"/>
      <c r="AR31" s="36"/>
      <c r="AS31" s="36"/>
      <c r="AT31" s="65"/>
      <c r="AU31" s="33"/>
      <c r="AV31" s="1"/>
      <c r="AW31" s="1"/>
    </row>
    <row r="32" spans="1:49" x14ac:dyDescent="0.3">
      <c r="A32" s="4"/>
      <c r="B32" s="38"/>
      <c r="C32" s="66"/>
      <c r="D32" s="66"/>
      <c r="E32" s="67"/>
      <c r="F32" s="66"/>
      <c r="G32" s="66"/>
      <c r="H32" s="66"/>
      <c r="I32" s="66"/>
      <c r="J32" s="38"/>
      <c r="K32" s="66"/>
      <c r="L32" s="66"/>
      <c r="M32" s="67"/>
      <c r="N32" s="66"/>
      <c r="O32" s="66"/>
      <c r="P32" s="66"/>
      <c r="Q32" s="66"/>
      <c r="R32" s="38"/>
      <c r="S32" s="66"/>
      <c r="T32" s="66"/>
      <c r="U32" s="67"/>
      <c r="V32" s="66"/>
      <c r="W32" s="66"/>
      <c r="X32" s="66"/>
      <c r="Y32" s="66"/>
      <c r="Z32" s="38"/>
      <c r="AA32" s="66"/>
      <c r="AB32" s="66"/>
      <c r="AC32" s="66"/>
      <c r="AD32" s="38"/>
      <c r="AE32" s="66"/>
      <c r="AF32" s="66"/>
      <c r="AG32" s="67"/>
      <c r="AH32" s="66"/>
      <c r="AI32" s="66"/>
      <c r="AJ32" s="66"/>
      <c r="AK32" s="66"/>
      <c r="AL32" s="38"/>
      <c r="AM32" s="66"/>
      <c r="AN32" s="66"/>
      <c r="AO32" s="67"/>
      <c r="AP32" s="62"/>
      <c r="AQ32" s="62"/>
      <c r="AR32" s="62"/>
      <c r="AS32" s="62"/>
      <c r="AT32" s="31"/>
      <c r="AU32" s="32"/>
      <c r="AV32" s="63"/>
      <c r="AW32" s="63"/>
    </row>
    <row r="33" spans="1:49" x14ac:dyDescent="0.3">
      <c r="A33" s="3"/>
      <c r="B33" s="9"/>
      <c r="C33" s="64"/>
      <c r="D33" s="64"/>
      <c r="E33" s="49"/>
      <c r="F33" s="64"/>
      <c r="G33" s="64"/>
      <c r="H33" s="64"/>
      <c r="I33" s="64"/>
      <c r="J33" s="9"/>
      <c r="K33" s="64"/>
      <c r="L33" s="64"/>
      <c r="M33" s="49"/>
      <c r="N33" s="64"/>
      <c r="O33" s="64"/>
      <c r="P33" s="64"/>
      <c r="Q33" s="64"/>
      <c r="R33" s="9"/>
      <c r="S33" s="64"/>
      <c r="T33" s="64"/>
      <c r="U33" s="49"/>
      <c r="V33" s="64"/>
      <c r="W33" s="64"/>
      <c r="X33" s="64"/>
      <c r="Y33" s="64"/>
      <c r="Z33" s="9"/>
      <c r="AA33" s="64"/>
      <c r="AB33" s="64"/>
      <c r="AC33" s="64"/>
      <c r="AD33" s="9"/>
      <c r="AE33" s="64"/>
      <c r="AF33" s="64"/>
      <c r="AG33" s="49"/>
      <c r="AH33" s="64"/>
      <c r="AI33" s="64"/>
      <c r="AJ33" s="64"/>
      <c r="AK33" s="64"/>
      <c r="AL33" s="9"/>
      <c r="AM33" s="64"/>
      <c r="AN33" s="64"/>
      <c r="AO33" s="49"/>
      <c r="AP33" s="36"/>
      <c r="AQ33" s="36"/>
      <c r="AR33" s="36"/>
      <c r="AS33" s="36"/>
      <c r="AT33" s="65"/>
      <c r="AU33" s="33"/>
      <c r="AV33" s="1"/>
      <c r="AW33" s="1"/>
    </row>
    <row r="34" spans="1:49" x14ac:dyDescent="0.3">
      <c r="A34" s="4"/>
      <c r="B34" s="38"/>
      <c r="C34" s="66"/>
      <c r="D34" s="66"/>
      <c r="E34" s="67"/>
      <c r="F34" s="66"/>
      <c r="G34" s="66"/>
      <c r="H34" s="66"/>
      <c r="I34" s="66"/>
      <c r="J34" s="38"/>
      <c r="K34" s="66"/>
      <c r="L34" s="66"/>
      <c r="M34" s="67"/>
      <c r="N34" s="66"/>
      <c r="O34" s="66"/>
      <c r="P34" s="66"/>
      <c r="Q34" s="66"/>
      <c r="R34" s="38"/>
      <c r="S34" s="66"/>
      <c r="T34" s="66"/>
      <c r="U34" s="67"/>
      <c r="V34" s="66"/>
      <c r="W34" s="66"/>
      <c r="X34" s="66"/>
      <c r="Y34" s="66"/>
      <c r="Z34" s="38"/>
      <c r="AA34" s="66"/>
      <c r="AB34" s="66"/>
      <c r="AC34" s="66"/>
      <c r="AD34" s="38"/>
      <c r="AE34" s="66"/>
      <c r="AF34" s="66"/>
      <c r="AG34" s="67"/>
      <c r="AH34" s="66"/>
      <c r="AI34" s="66"/>
      <c r="AJ34" s="66"/>
      <c r="AK34" s="66"/>
      <c r="AL34" s="38"/>
      <c r="AM34" s="66"/>
      <c r="AN34" s="66"/>
      <c r="AO34" s="67"/>
      <c r="AP34" s="62"/>
      <c r="AQ34" s="62"/>
      <c r="AR34" s="62"/>
      <c r="AS34" s="62"/>
      <c r="AT34" s="31"/>
      <c r="AU34" s="32"/>
      <c r="AV34" s="63"/>
      <c r="AW34" s="63"/>
    </row>
    <row r="35" spans="1:49" x14ac:dyDescent="0.3">
      <c r="A35" s="3"/>
      <c r="B35" s="9"/>
      <c r="C35" s="64"/>
      <c r="D35" s="64"/>
      <c r="E35" s="49"/>
      <c r="F35" s="64"/>
      <c r="G35" s="64"/>
      <c r="H35" s="64"/>
      <c r="I35" s="64"/>
      <c r="J35" s="9"/>
      <c r="K35" s="64"/>
      <c r="L35" s="64"/>
      <c r="M35" s="49"/>
      <c r="N35" s="64"/>
      <c r="O35" s="64"/>
      <c r="P35" s="64"/>
      <c r="Q35" s="64"/>
      <c r="R35" s="9"/>
      <c r="S35" s="64"/>
      <c r="T35" s="64"/>
      <c r="U35" s="49"/>
      <c r="V35" s="64"/>
      <c r="W35" s="64"/>
      <c r="X35" s="64"/>
      <c r="Y35" s="64"/>
      <c r="Z35" s="9"/>
      <c r="AA35" s="64"/>
      <c r="AB35" s="64"/>
      <c r="AC35" s="64"/>
      <c r="AD35" s="9"/>
      <c r="AE35" s="64"/>
      <c r="AF35" s="64"/>
      <c r="AG35" s="49"/>
      <c r="AH35" s="64"/>
      <c r="AI35" s="64"/>
      <c r="AJ35" s="64"/>
      <c r="AK35" s="64"/>
      <c r="AL35" s="9"/>
      <c r="AM35" s="64"/>
      <c r="AN35" s="64"/>
      <c r="AO35" s="49"/>
      <c r="AP35" s="36"/>
      <c r="AQ35" s="36"/>
      <c r="AR35" s="36"/>
      <c r="AS35" s="36"/>
      <c r="AT35" s="65"/>
      <c r="AU35" s="33"/>
      <c r="AV35" s="1"/>
      <c r="AW35" s="1"/>
    </row>
    <row r="36" spans="1:49" x14ac:dyDescent="0.3">
      <c r="A36" s="4"/>
      <c r="B36" s="38"/>
      <c r="C36" s="66"/>
      <c r="D36" s="66"/>
      <c r="E36" s="67"/>
      <c r="F36" s="66"/>
      <c r="G36" s="66"/>
      <c r="H36" s="66"/>
      <c r="I36" s="66"/>
      <c r="J36" s="38"/>
      <c r="K36" s="66"/>
      <c r="L36" s="66"/>
      <c r="M36" s="67"/>
      <c r="N36" s="66"/>
      <c r="O36" s="66"/>
      <c r="P36" s="66"/>
      <c r="Q36" s="66"/>
      <c r="R36" s="38"/>
      <c r="S36" s="66"/>
      <c r="T36" s="66"/>
      <c r="U36" s="67"/>
      <c r="V36" s="66"/>
      <c r="W36" s="66"/>
      <c r="X36" s="66"/>
      <c r="Y36" s="66"/>
      <c r="Z36" s="38"/>
      <c r="AA36" s="66"/>
      <c r="AB36" s="66"/>
      <c r="AC36" s="66"/>
      <c r="AD36" s="38"/>
      <c r="AE36" s="66"/>
      <c r="AF36" s="66"/>
      <c r="AG36" s="67"/>
      <c r="AH36" s="66"/>
      <c r="AI36" s="66"/>
      <c r="AJ36" s="66"/>
      <c r="AK36" s="66"/>
      <c r="AL36" s="38"/>
      <c r="AM36" s="66"/>
      <c r="AN36" s="66"/>
      <c r="AO36" s="67"/>
      <c r="AP36" s="62"/>
      <c r="AQ36" s="62"/>
      <c r="AR36" s="62"/>
      <c r="AS36" s="62"/>
      <c r="AT36" s="31"/>
      <c r="AU36" s="32"/>
      <c r="AV36" s="63"/>
      <c r="AW36" s="63"/>
    </row>
    <row r="37" spans="1:49" x14ac:dyDescent="0.3">
      <c r="A37" s="3"/>
      <c r="B37" s="9"/>
      <c r="C37" s="64"/>
      <c r="D37" s="64"/>
      <c r="E37" s="49"/>
      <c r="F37" s="64"/>
      <c r="G37" s="64"/>
      <c r="H37" s="64"/>
      <c r="I37" s="64"/>
      <c r="J37" s="9"/>
      <c r="K37" s="64"/>
      <c r="L37" s="64"/>
      <c r="M37" s="49"/>
      <c r="N37" s="64"/>
      <c r="O37" s="64"/>
      <c r="P37" s="64"/>
      <c r="Q37" s="64"/>
      <c r="R37" s="9"/>
      <c r="S37" s="64"/>
      <c r="T37" s="64"/>
      <c r="U37" s="49"/>
      <c r="V37" s="64"/>
      <c r="W37" s="64"/>
      <c r="X37" s="64"/>
      <c r="Y37" s="64"/>
      <c r="Z37" s="9"/>
      <c r="AA37" s="64"/>
      <c r="AB37" s="64"/>
      <c r="AC37" s="64"/>
      <c r="AD37" s="9"/>
      <c r="AE37" s="64"/>
      <c r="AF37" s="64"/>
      <c r="AG37" s="49"/>
      <c r="AH37" s="64"/>
      <c r="AI37" s="64"/>
      <c r="AJ37" s="64"/>
      <c r="AK37" s="64"/>
      <c r="AL37" s="9"/>
      <c r="AM37" s="64"/>
      <c r="AN37" s="64"/>
      <c r="AO37" s="49"/>
      <c r="AP37" s="36"/>
      <c r="AQ37" s="36"/>
      <c r="AR37" s="36"/>
      <c r="AS37" s="36"/>
      <c r="AT37" s="65"/>
      <c r="AU37" s="33"/>
      <c r="AV37" s="1"/>
      <c r="AW37" s="1"/>
    </row>
    <row r="38" spans="1:49" x14ac:dyDescent="0.3">
      <c r="A38" s="4"/>
      <c r="B38" s="38"/>
      <c r="C38" s="66"/>
      <c r="D38" s="66"/>
      <c r="E38" s="67"/>
      <c r="F38" s="66"/>
      <c r="G38" s="66"/>
      <c r="H38" s="66"/>
      <c r="I38" s="66"/>
      <c r="J38" s="38"/>
      <c r="K38" s="66"/>
      <c r="L38" s="66"/>
      <c r="M38" s="67"/>
      <c r="N38" s="66"/>
      <c r="O38" s="66"/>
      <c r="P38" s="66"/>
      <c r="Q38" s="66"/>
      <c r="R38" s="38"/>
      <c r="S38" s="66"/>
      <c r="T38" s="66"/>
      <c r="U38" s="67"/>
      <c r="V38" s="66"/>
      <c r="W38" s="66"/>
      <c r="X38" s="66"/>
      <c r="Y38" s="66"/>
      <c r="Z38" s="38"/>
      <c r="AA38" s="66"/>
      <c r="AB38" s="66"/>
      <c r="AC38" s="66"/>
      <c r="AD38" s="38"/>
      <c r="AE38" s="66"/>
      <c r="AF38" s="66"/>
      <c r="AG38" s="67"/>
      <c r="AH38" s="66"/>
      <c r="AI38" s="66"/>
      <c r="AJ38" s="66"/>
      <c r="AK38" s="66"/>
      <c r="AL38" s="38"/>
      <c r="AM38" s="66"/>
      <c r="AN38" s="66"/>
      <c r="AO38" s="67"/>
      <c r="AP38" s="62"/>
      <c r="AQ38" s="62"/>
      <c r="AR38" s="62"/>
      <c r="AS38" s="62"/>
      <c r="AT38" s="31"/>
      <c r="AU38" s="32"/>
      <c r="AV38" s="63"/>
      <c r="AW38" s="63"/>
    </row>
    <row r="39" spans="1:49" x14ac:dyDescent="0.3">
      <c r="A39" s="3"/>
      <c r="B39" s="9"/>
      <c r="C39" s="64"/>
      <c r="D39" s="64"/>
      <c r="E39" s="49"/>
      <c r="F39" s="64"/>
      <c r="G39" s="64"/>
      <c r="H39" s="64"/>
      <c r="I39" s="64"/>
      <c r="J39" s="9"/>
      <c r="K39" s="64"/>
      <c r="L39" s="64"/>
      <c r="M39" s="49"/>
      <c r="N39" s="64"/>
      <c r="O39" s="64"/>
      <c r="P39" s="64"/>
      <c r="Q39" s="64"/>
      <c r="R39" s="9"/>
      <c r="S39" s="64"/>
      <c r="T39" s="64"/>
      <c r="U39" s="49"/>
      <c r="V39" s="64"/>
      <c r="W39" s="64"/>
      <c r="X39" s="64"/>
      <c r="Y39" s="64"/>
      <c r="Z39" s="9"/>
      <c r="AA39" s="64"/>
      <c r="AB39" s="64"/>
      <c r="AC39" s="64"/>
      <c r="AD39" s="9"/>
      <c r="AE39" s="64"/>
      <c r="AF39" s="64"/>
      <c r="AG39" s="49"/>
      <c r="AH39" s="64"/>
      <c r="AI39" s="64"/>
      <c r="AJ39" s="64"/>
      <c r="AK39" s="64"/>
      <c r="AL39" s="9"/>
      <c r="AM39" s="64"/>
      <c r="AN39" s="64"/>
      <c r="AO39" s="49"/>
      <c r="AP39" s="36"/>
      <c r="AQ39" s="36"/>
      <c r="AR39" s="36"/>
      <c r="AS39" s="36"/>
      <c r="AT39" s="65"/>
      <c r="AU39" s="33"/>
      <c r="AV39" s="1"/>
      <c r="AW39" s="1"/>
    </row>
    <row r="40" spans="1:49" x14ac:dyDescent="0.3">
      <c r="A40" s="4"/>
      <c r="B40" s="38"/>
      <c r="C40" s="66"/>
      <c r="D40" s="66"/>
      <c r="E40" s="67"/>
      <c r="F40" s="66"/>
      <c r="G40" s="66"/>
      <c r="H40" s="66"/>
      <c r="I40" s="66"/>
      <c r="J40" s="38"/>
      <c r="K40" s="66"/>
      <c r="L40" s="66"/>
      <c r="M40" s="67"/>
      <c r="N40" s="66"/>
      <c r="O40" s="66"/>
      <c r="P40" s="66"/>
      <c r="Q40" s="66"/>
      <c r="R40" s="38"/>
      <c r="S40" s="66"/>
      <c r="T40" s="66"/>
      <c r="U40" s="67"/>
      <c r="V40" s="66"/>
      <c r="W40" s="66"/>
      <c r="X40" s="66"/>
      <c r="Y40" s="66"/>
      <c r="Z40" s="38"/>
      <c r="AA40" s="66"/>
      <c r="AB40" s="66"/>
      <c r="AC40" s="66"/>
      <c r="AD40" s="38"/>
      <c r="AE40" s="66"/>
      <c r="AF40" s="66"/>
      <c r="AG40" s="67"/>
      <c r="AH40" s="66"/>
      <c r="AI40" s="66"/>
      <c r="AJ40" s="66"/>
      <c r="AK40" s="66"/>
      <c r="AL40" s="38"/>
      <c r="AM40" s="66"/>
      <c r="AN40" s="66"/>
      <c r="AO40" s="67"/>
      <c r="AP40" s="62"/>
      <c r="AQ40" s="62"/>
      <c r="AR40" s="62"/>
      <c r="AS40" s="62"/>
      <c r="AT40" s="31"/>
      <c r="AU40" s="32"/>
      <c r="AV40" s="63"/>
      <c r="AW40" s="63"/>
    </row>
    <row r="41" spans="1:49" x14ac:dyDescent="0.3">
      <c r="A41" s="3"/>
      <c r="B41" s="9"/>
      <c r="C41" s="64"/>
      <c r="D41" s="64"/>
      <c r="E41" s="49"/>
      <c r="F41" s="64"/>
      <c r="G41" s="64"/>
      <c r="H41" s="64"/>
      <c r="I41" s="64"/>
      <c r="J41" s="9"/>
      <c r="K41" s="64"/>
      <c r="L41" s="64"/>
      <c r="M41" s="49"/>
      <c r="N41" s="64"/>
      <c r="O41" s="64"/>
      <c r="P41" s="64"/>
      <c r="Q41" s="64"/>
      <c r="R41" s="9"/>
      <c r="S41" s="64"/>
      <c r="T41" s="64"/>
      <c r="U41" s="49"/>
      <c r="V41" s="64"/>
      <c r="W41" s="64"/>
      <c r="X41" s="64"/>
      <c r="Y41" s="64"/>
      <c r="Z41" s="9"/>
      <c r="AA41" s="64"/>
      <c r="AB41" s="64"/>
      <c r="AC41" s="64"/>
      <c r="AD41" s="9"/>
      <c r="AE41" s="64"/>
      <c r="AF41" s="64"/>
      <c r="AG41" s="49"/>
      <c r="AH41" s="64"/>
      <c r="AI41" s="64"/>
      <c r="AJ41" s="64"/>
      <c r="AK41" s="64"/>
      <c r="AL41" s="9"/>
      <c r="AM41" s="64"/>
      <c r="AN41" s="64"/>
      <c r="AO41" s="49"/>
      <c r="AP41" s="36"/>
      <c r="AQ41" s="36"/>
      <c r="AR41" s="36"/>
      <c r="AS41" s="36"/>
      <c r="AT41" s="65"/>
      <c r="AU41" s="33"/>
      <c r="AV41" s="1"/>
      <c r="AW41" s="1"/>
    </row>
    <row r="42" spans="1:49" x14ac:dyDescent="0.3">
      <c r="A42" s="4"/>
      <c r="B42" s="38"/>
      <c r="C42" s="66"/>
      <c r="D42" s="66"/>
      <c r="E42" s="67"/>
      <c r="F42" s="66"/>
      <c r="G42" s="66"/>
      <c r="H42" s="66"/>
      <c r="I42" s="66"/>
      <c r="J42" s="38"/>
      <c r="K42" s="66"/>
      <c r="L42" s="66"/>
      <c r="M42" s="67"/>
      <c r="N42" s="66"/>
      <c r="O42" s="66"/>
      <c r="P42" s="66"/>
      <c r="Q42" s="66"/>
      <c r="R42" s="38"/>
      <c r="S42" s="66"/>
      <c r="T42" s="66"/>
      <c r="U42" s="67"/>
      <c r="V42" s="66"/>
      <c r="W42" s="66"/>
      <c r="X42" s="66"/>
      <c r="Y42" s="66"/>
      <c r="Z42" s="38"/>
      <c r="AA42" s="66"/>
      <c r="AB42" s="66"/>
      <c r="AC42" s="66"/>
      <c r="AD42" s="38"/>
      <c r="AE42" s="66"/>
      <c r="AF42" s="66"/>
      <c r="AG42" s="67"/>
      <c r="AH42" s="66"/>
      <c r="AI42" s="66"/>
      <c r="AJ42" s="66"/>
      <c r="AK42" s="66"/>
      <c r="AL42" s="38"/>
      <c r="AM42" s="66"/>
      <c r="AN42" s="66"/>
      <c r="AO42" s="67"/>
      <c r="AP42" s="62"/>
      <c r="AQ42" s="62"/>
      <c r="AR42" s="62"/>
      <c r="AS42" s="62"/>
      <c r="AT42" s="31"/>
      <c r="AU42" s="32"/>
      <c r="AV42" s="63"/>
      <c r="AW42" s="63"/>
    </row>
    <row r="43" spans="1:49" x14ac:dyDescent="0.3">
      <c r="A43" s="37"/>
      <c r="B43" s="68"/>
      <c r="C43" s="36"/>
      <c r="D43" s="36"/>
      <c r="E43" s="69"/>
      <c r="F43" s="36"/>
      <c r="G43" s="36"/>
      <c r="H43" s="36"/>
      <c r="I43" s="36"/>
      <c r="J43" s="68"/>
      <c r="K43" s="36"/>
      <c r="L43" s="36"/>
      <c r="M43" s="69"/>
      <c r="N43" s="36"/>
      <c r="O43" s="36"/>
      <c r="P43" s="36"/>
      <c r="Q43" s="36"/>
      <c r="R43" s="68"/>
      <c r="S43" s="36"/>
      <c r="T43" s="36"/>
      <c r="U43" s="69"/>
      <c r="V43" s="36"/>
      <c r="W43" s="36"/>
      <c r="X43" s="36"/>
      <c r="Y43" s="36"/>
      <c r="Z43" s="68"/>
      <c r="AA43" s="36"/>
      <c r="AB43" s="36"/>
      <c r="AC43" s="36"/>
      <c r="AD43" s="68"/>
      <c r="AE43" s="36"/>
      <c r="AF43" s="36"/>
      <c r="AG43" s="69"/>
      <c r="AH43" s="36"/>
      <c r="AI43" s="36"/>
      <c r="AJ43" s="36"/>
      <c r="AK43" s="36"/>
      <c r="AL43" s="9"/>
      <c r="AM43" s="64"/>
      <c r="AN43" s="64"/>
      <c r="AO43" s="49"/>
      <c r="AP43" s="36"/>
      <c r="AQ43" s="36"/>
      <c r="AR43" s="36"/>
      <c r="AS43" s="36"/>
      <c r="AT43" s="65"/>
      <c r="AU43" s="33"/>
      <c r="AV43" s="1"/>
      <c r="AW43" s="1"/>
    </row>
    <row r="44" spans="1:49" x14ac:dyDescent="0.3">
      <c r="A44" s="38"/>
      <c r="B44" s="38"/>
      <c r="C44" s="66"/>
      <c r="D44" s="66"/>
      <c r="E44" s="66"/>
      <c r="F44" s="38"/>
      <c r="G44" s="66"/>
      <c r="H44" s="66"/>
      <c r="I44" s="67"/>
      <c r="J44" s="66"/>
      <c r="K44" s="66"/>
      <c r="L44" s="66"/>
      <c r="M44" s="66"/>
      <c r="N44" s="38"/>
      <c r="O44" s="66"/>
      <c r="P44" s="66"/>
      <c r="Q44" s="67"/>
      <c r="R44" s="66"/>
      <c r="S44" s="66"/>
      <c r="T44" s="66"/>
      <c r="U44" s="67"/>
      <c r="V44" s="38"/>
      <c r="W44" s="66"/>
      <c r="X44" s="66"/>
      <c r="Y44" s="66"/>
      <c r="Z44" s="38"/>
      <c r="AA44" s="66"/>
      <c r="AB44" s="66"/>
      <c r="AC44" s="66"/>
      <c r="AD44" s="38"/>
      <c r="AE44" s="66"/>
      <c r="AF44" s="66"/>
      <c r="AG44" s="67"/>
      <c r="AH44" s="66"/>
      <c r="AI44" s="66"/>
      <c r="AJ44" s="66"/>
      <c r="AK44" s="66"/>
      <c r="AL44" s="38"/>
      <c r="AM44" s="66"/>
      <c r="AN44" s="66"/>
      <c r="AO44" s="67"/>
      <c r="AP44" s="62"/>
      <c r="AQ44" s="62"/>
      <c r="AR44" s="62"/>
      <c r="AS44" s="62"/>
      <c r="AT44" s="31"/>
      <c r="AU44" s="32"/>
      <c r="AV44" s="63"/>
      <c r="AW44" s="63"/>
    </row>
    <row r="45" spans="1:49" x14ac:dyDescent="0.3">
      <c r="A45" s="9"/>
      <c r="B45" s="9"/>
      <c r="C45" s="64"/>
      <c r="D45" s="64"/>
      <c r="E45" s="64"/>
      <c r="F45" s="9"/>
      <c r="G45" s="64"/>
      <c r="H45" s="64"/>
      <c r="I45" s="49"/>
      <c r="J45" s="64"/>
      <c r="K45" s="64"/>
      <c r="L45" s="64"/>
      <c r="M45" s="64"/>
      <c r="N45" s="9"/>
      <c r="O45" s="64"/>
      <c r="P45" s="64"/>
      <c r="Q45" s="49"/>
      <c r="R45" s="64"/>
      <c r="S45" s="64"/>
      <c r="T45" s="64"/>
      <c r="U45" s="49"/>
      <c r="V45" s="9"/>
      <c r="W45" s="64"/>
      <c r="X45" s="64"/>
      <c r="Y45" s="64"/>
      <c r="Z45" s="9"/>
      <c r="AA45" s="64"/>
      <c r="AB45" s="64"/>
      <c r="AC45" s="64"/>
      <c r="AD45" s="9"/>
      <c r="AE45" s="64"/>
      <c r="AF45" s="64"/>
      <c r="AG45" s="49"/>
      <c r="AH45" s="64"/>
      <c r="AI45" s="64"/>
      <c r="AJ45" s="64"/>
      <c r="AK45" s="64"/>
      <c r="AL45" s="9"/>
      <c r="AM45" s="64"/>
      <c r="AN45" s="64"/>
      <c r="AO45" s="49"/>
      <c r="AP45" s="36"/>
      <c r="AQ45" s="36"/>
      <c r="AR45" s="36"/>
      <c r="AS45" s="36"/>
      <c r="AT45" s="65"/>
      <c r="AU45" s="33"/>
      <c r="AV45" s="1"/>
      <c r="AW45" s="1"/>
    </row>
    <row r="46" spans="1:49" x14ac:dyDescent="0.3">
      <c r="A46" s="38"/>
      <c r="B46" s="38"/>
      <c r="C46" s="66"/>
      <c r="D46" s="66"/>
      <c r="E46" s="66"/>
      <c r="F46" s="38"/>
      <c r="G46" s="66"/>
      <c r="H46" s="66"/>
      <c r="I46" s="67"/>
      <c r="J46" s="66"/>
      <c r="K46" s="66"/>
      <c r="L46" s="66"/>
      <c r="M46" s="66"/>
      <c r="N46" s="38"/>
      <c r="O46" s="66"/>
      <c r="P46" s="66"/>
      <c r="Q46" s="67"/>
      <c r="R46" s="66"/>
      <c r="S46" s="66"/>
      <c r="T46" s="66"/>
      <c r="U46" s="67"/>
      <c r="V46" s="38"/>
      <c r="W46" s="66"/>
      <c r="X46" s="66"/>
      <c r="Y46" s="66"/>
      <c r="Z46" s="38"/>
      <c r="AA46" s="66"/>
      <c r="AB46" s="66"/>
      <c r="AC46" s="66"/>
      <c r="AD46" s="38"/>
      <c r="AE46" s="66"/>
      <c r="AF46" s="66"/>
      <c r="AG46" s="67"/>
      <c r="AH46" s="66"/>
      <c r="AI46" s="66"/>
      <c r="AJ46" s="66"/>
      <c r="AK46" s="66"/>
      <c r="AL46" s="38"/>
      <c r="AM46" s="66"/>
      <c r="AN46" s="66"/>
      <c r="AO46" s="67"/>
      <c r="AP46" s="62"/>
      <c r="AQ46" s="62"/>
      <c r="AR46" s="62"/>
      <c r="AS46" s="62"/>
      <c r="AT46" s="31"/>
      <c r="AU46" s="32"/>
      <c r="AV46" s="63"/>
      <c r="AW46" s="63"/>
    </row>
    <row r="47" spans="1:49" x14ac:dyDescent="0.3">
      <c r="A47" s="9"/>
      <c r="B47" s="9"/>
      <c r="C47" s="64"/>
      <c r="D47" s="64"/>
      <c r="E47" s="64"/>
      <c r="F47" s="9"/>
      <c r="G47" s="64"/>
      <c r="H47" s="64"/>
      <c r="I47" s="49"/>
      <c r="J47" s="64"/>
      <c r="K47" s="64"/>
      <c r="L47" s="64"/>
      <c r="M47" s="64"/>
      <c r="N47" s="9"/>
      <c r="O47" s="64"/>
      <c r="P47" s="64"/>
      <c r="Q47" s="49"/>
      <c r="R47" s="64"/>
      <c r="S47" s="64"/>
      <c r="T47" s="64"/>
      <c r="U47" s="49"/>
      <c r="V47" s="9"/>
      <c r="W47" s="64"/>
      <c r="X47" s="64"/>
      <c r="Y47" s="64"/>
      <c r="Z47" s="9"/>
      <c r="AA47" s="64"/>
      <c r="AB47" s="64"/>
      <c r="AC47" s="64"/>
      <c r="AD47" s="9"/>
      <c r="AE47" s="64"/>
      <c r="AF47" s="64"/>
      <c r="AG47" s="49"/>
      <c r="AH47" s="64"/>
      <c r="AI47" s="64"/>
      <c r="AJ47" s="64"/>
      <c r="AK47" s="64"/>
      <c r="AL47" s="9"/>
      <c r="AM47" s="64"/>
      <c r="AN47" s="64"/>
      <c r="AO47" s="49"/>
      <c r="AP47" s="36"/>
      <c r="AQ47" s="36"/>
      <c r="AR47" s="36"/>
      <c r="AS47" s="36"/>
      <c r="AT47" s="65"/>
      <c r="AU47" s="33"/>
      <c r="AV47" s="1"/>
      <c r="AW47" s="1"/>
    </row>
    <row r="48" spans="1:49" x14ac:dyDescent="0.3">
      <c r="A48" s="38"/>
      <c r="B48" s="38"/>
      <c r="C48" s="66"/>
      <c r="D48" s="66"/>
      <c r="E48" s="66"/>
      <c r="F48" s="38"/>
      <c r="G48" s="66"/>
      <c r="H48" s="66"/>
      <c r="I48" s="67"/>
      <c r="J48" s="66"/>
      <c r="K48" s="66"/>
      <c r="L48" s="66"/>
      <c r="M48" s="66"/>
      <c r="N48" s="38"/>
      <c r="O48" s="66"/>
      <c r="P48" s="66"/>
      <c r="Q48" s="67"/>
      <c r="R48" s="66"/>
      <c r="S48" s="66"/>
      <c r="T48" s="66"/>
      <c r="U48" s="67"/>
      <c r="V48" s="38"/>
      <c r="W48" s="66"/>
      <c r="X48" s="66"/>
      <c r="Y48" s="66"/>
      <c r="Z48" s="38"/>
      <c r="AA48" s="66"/>
      <c r="AB48" s="66"/>
      <c r="AC48" s="66"/>
      <c r="AD48" s="38"/>
      <c r="AE48" s="66"/>
      <c r="AF48" s="66"/>
      <c r="AG48" s="67"/>
      <c r="AH48" s="66"/>
      <c r="AI48" s="66"/>
      <c r="AJ48" s="66"/>
      <c r="AK48" s="66"/>
      <c r="AL48" s="38"/>
      <c r="AM48" s="66"/>
      <c r="AN48" s="66"/>
      <c r="AO48" s="67"/>
      <c r="AP48" s="62"/>
      <c r="AQ48" s="62"/>
      <c r="AR48" s="62"/>
      <c r="AS48" s="62"/>
      <c r="AT48" s="31"/>
      <c r="AU48" s="32"/>
      <c r="AV48" s="63"/>
      <c r="AW48" s="63"/>
    </row>
    <row r="49" spans="1:49" x14ac:dyDescent="0.3">
      <c r="A49" s="9"/>
      <c r="B49" s="9"/>
      <c r="C49" s="64"/>
      <c r="D49" s="64"/>
      <c r="E49" s="64"/>
      <c r="F49" s="9"/>
      <c r="G49" s="64"/>
      <c r="H49" s="64"/>
      <c r="I49" s="49"/>
      <c r="J49" s="64"/>
      <c r="K49" s="64"/>
      <c r="L49" s="64"/>
      <c r="M49" s="64"/>
      <c r="N49" s="9"/>
      <c r="O49" s="64"/>
      <c r="P49" s="64"/>
      <c r="Q49" s="49"/>
      <c r="R49" s="64"/>
      <c r="S49" s="64"/>
      <c r="T49" s="64"/>
      <c r="U49" s="49"/>
      <c r="V49" s="9"/>
      <c r="W49" s="64"/>
      <c r="X49" s="64"/>
      <c r="Y49" s="64"/>
      <c r="Z49" s="9"/>
      <c r="AA49" s="64"/>
      <c r="AB49" s="64"/>
      <c r="AC49" s="64"/>
      <c r="AD49" s="9"/>
      <c r="AE49" s="64"/>
      <c r="AF49" s="64"/>
      <c r="AG49" s="49"/>
      <c r="AH49" s="64"/>
      <c r="AI49" s="64"/>
      <c r="AJ49" s="64"/>
      <c r="AK49" s="64"/>
      <c r="AL49" s="9"/>
      <c r="AM49" s="64"/>
      <c r="AN49" s="64"/>
      <c r="AO49" s="49"/>
      <c r="AP49" s="36"/>
      <c r="AQ49" s="36"/>
      <c r="AR49" s="36"/>
      <c r="AS49" s="36"/>
      <c r="AT49" s="65"/>
      <c r="AU49" s="33"/>
      <c r="AV49" s="1"/>
      <c r="AW49" s="1"/>
    </row>
    <row r="50" spans="1:49" ht="21" thickBot="1" x14ac:dyDescent="0.35">
      <c r="A50" s="39"/>
      <c r="B50" s="39"/>
      <c r="C50" s="70"/>
      <c r="D50" s="70"/>
      <c r="E50" s="70"/>
      <c r="F50" s="39"/>
      <c r="G50" s="70"/>
      <c r="H50" s="70"/>
      <c r="I50" s="71"/>
      <c r="J50" s="70"/>
      <c r="K50" s="70"/>
      <c r="L50" s="70"/>
      <c r="M50" s="70"/>
      <c r="N50" s="39"/>
      <c r="O50" s="70"/>
      <c r="P50" s="70"/>
      <c r="Q50" s="71"/>
      <c r="R50" s="70"/>
      <c r="S50" s="70"/>
      <c r="T50" s="70"/>
      <c r="U50" s="71"/>
      <c r="V50" s="39"/>
      <c r="W50" s="70"/>
      <c r="X50" s="70"/>
      <c r="Y50" s="70"/>
      <c r="Z50" s="39"/>
      <c r="AA50" s="70"/>
      <c r="AB50" s="70"/>
      <c r="AC50" s="70"/>
      <c r="AD50" s="39"/>
      <c r="AE50" s="70"/>
      <c r="AF50" s="70"/>
      <c r="AG50" s="71"/>
      <c r="AH50" s="70"/>
      <c r="AI50" s="70"/>
      <c r="AJ50" s="70"/>
      <c r="AK50" s="70"/>
      <c r="AL50" s="39"/>
      <c r="AM50" s="70"/>
      <c r="AN50" s="70"/>
      <c r="AO50" s="71"/>
      <c r="AP50" s="62"/>
      <c r="AQ50" s="62"/>
      <c r="AR50" s="62"/>
      <c r="AS50" s="62"/>
      <c r="AT50" s="31"/>
      <c r="AU50" s="32"/>
      <c r="AV50" s="63"/>
      <c r="AW50" s="63"/>
    </row>
  </sheetData>
  <sheetProtection formatCells="0" formatColumns="0" formatRows="0" insertColumns="0" insertRows="0" insertHyperlinks="0" deleteColumns="0" deleteRows="0" sort="0" autoFilter="0" pivotTables="0"/>
  <dataConsolidate/>
  <mergeCells count="12">
    <mergeCell ref="AL3:AO3"/>
    <mergeCell ref="AP3:AS3"/>
    <mergeCell ref="AP2:AV2"/>
    <mergeCell ref="B3:E3"/>
    <mergeCell ref="F3:I3"/>
    <mergeCell ref="J3:M3"/>
    <mergeCell ref="N3:Q3"/>
    <mergeCell ref="R3:U3"/>
    <mergeCell ref="V3:Y3"/>
    <mergeCell ref="Z3:AC3"/>
    <mergeCell ref="AD3:AG3"/>
    <mergeCell ref="AH3:AK3"/>
  </mergeCells>
  <phoneticPr fontId="3"/>
  <conditionalFormatting sqref="A10:AW50 R4:AW9">
    <cfRule type="expression" dxfId="0" priority="2">
      <formula>CELL("ROW")=ROW()</formula>
    </cfRule>
  </conditionalFormatting>
  <conditionalFormatting sqref="A4:Q9">
    <cfRule type="expression" dxfId="5" priority="1">
      <formula>CELL("ROW")=ROW()</formula>
    </cfRule>
  </conditionalFormatting>
  <dataValidations count="1">
    <dataValidation showInputMessage="1" sqref="B4:U50" xr:uid="{987ED09A-9BD9-C442-BF12-0563986605BE}"/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decision">
                <anchor moveWithCells="1">
                  <from>
                    <xdr:col>11</xdr:col>
                    <xdr:colOff>38100</xdr:colOff>
                    <xdr:row>0</xdr:row>
                    <xdr:rowOff>63500</xdr:rowOff>
                  </from>
                  <to>
                    <xdr:col>13</xdr:col>
                    <xdr:colOff>317500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autoFill="0" autoPict="0" macro="[0]!Confirmation">
                <anchor moveWithCells="1" sizeWithCells="1">
                  <from>
                    <xdr:col>16</xdr:col>
                    <xdr:colOff>342900</xdr:colOff>
                    <xdr:row>0</xdr:row>
                    <xdr:rowOff>101600</xdr:rowOff>
                  </from>
                  <to>
                    <xdr:col>21</xdr:col>
                    <xdr:colOff>241300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xr:uid="{72ED01DB-DF04-7941-8277-26C8FFD385DD}">
          <x14:formula1>
            <xm:f>データ!$O$3:$O$5</xm:f>
          </x14:formula1>
          <xm:sqref>V4:AO50</xm:sqref>
        </x14:dataValidation>
        <x14:dataValidation type="list" showInputMessage="1" showErrorMessage="1" xr:uid="{9A445F09-15F2-634B-BB31-16A67E7E954A}">
          <x14:formula1>
            <xm:f>データ!$B$3:$B$55</xm:f>
          </x14:formula1>
          <xm:sqref>A4:A50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7638A-282D-A444-A82F-7DFF58EEC368}">
  <sheetPr codeName="Sheet6"/>
  <dimension ref="A2:AW50"/>
  <sheetViews>
    <sheetView showRuler="0" zoomScale="130" zoomScaleNormal="130" zoomScalePageLayoutView="90" workbookViewId="0">
      <pane ySplit="3" topLeftCell="A4" activePane="bottomLeft" state="frozen"/>
      <selection pane="bottomLeft" activeCell="R4" sqref="R4"/>
    </sheetView>
  </sheetViews>
  <sheetFormatPr baseColWidth="10" defaultColWidth="12.85546875" defaultRowHeight="20" x14ac:dyDescent="0.3"/>
  <cols>
    <col min="1" max="1" width="14.140625" style="1" customWidth="1"/>
    <col min="2" max="21" width="3.7109375" customWidth="1"/>
    <col min="22" max="41" width="3.7109375" hidden="1" customWidth="1"/>
    <col min="42" max="45" width="3.7109375" style="16" customWidth="1"/>
    <col min="46" max="46" width="8.7109375" style="29" customWidth="1"/>
    <col min="47" max="47" width="8.7109375" style="30" customWidth="1"/>
    <col min="48" max="48" width="8.7109375" style="6" customWidth="1"/>
    <col min="49" max="49" width="11.140625" style="6" customWidth="1"/>
  </cols>
  <sheetData>
    <row r="2" spans="1:49" ht="21" thickBot="1" x14ac:dyDescent="0.35">
      <c r="B2" s="56"/>
      <c r="C2" s="1" t="s">
        <v>45</v>
      </c>
      <c r="D2" s="56"/>
      <c r="E2" s="1" t="s">
        <v>12</v>
      </c>
      <c r="F2" s="56"/>
      <c r="G2" s="1" t="s">
        <v>13</v>
      </c>
      <c r="I2" s="1" t="s">
        <v>14</v>
      </c>
      <c r="J2" s="56"/>
      <c r="AP2" s="135" t="s">
        <v>31</v>
      </c>
      <c r="AQ2" s="135"/>
      <c r="AR2" s="135"/>
      <c r="AS2" s="135"/>
      <c r="AT2" s="135"/>
      <c r="AU2" s="135"/>
      <c r="AV2" s="135"/>
      <c r="AW2" s="113"/>
    </row>
    <row r="3" spans="1:49" ht="21" thickBot="1" x14ac:dyDescent="0.35">
      <c r="A3" s="114" t="s">
        <v>11</v>
      </c>
      <c r="B3" s="136" t="s">
        <v>38</v>
      </c>
      <c r="C3" s="137"/>
      <c r="D3" s="137"/>
      <c r="E3" s="138"/>
      <c r="F3" s="137" t="s">
        <v>0</v>
      </c>
      <c r="G3" s="137"/>
      <c r="H3" s="137"/>
      <c r="I3" s="137"/>
      <c r="J3" s="136" t="s">
        <v>1</v>
      </c>
      <c r="K3" s="137"/>
      <c r="L3" s="137"/>
      <c r="M3" s="138"/>
      <c r="N3" s="137" t="s">
        <v>2</v>
      </c>
      <c r="O3" s="137"/>
      <c r="P3" s="137"/>
      <c r="Q3" s="137"/>
      <c r="R3" s="136" t="s">
        <v>3</v>
      </c>
      <c r="S3" s="137"/>
      <c r="T3" s="137"/>
      <c r="U3" s="138"/>
      <c r="V3" s="136" t="s">
        <v>46</v>
      </c>
      <c r="W3" s="137"/>
      <c r="X3" s="137"/>
      <c r="Y3" s="137"/>
      <c r="Z3" s="136" t="s">
        <v>47</v>
      </c>
      <c r="AA3" s="137"/>
      <c r="AB3" s="137"/>
      <c r="AC3" s="137"/>
      <c r="AD3" s="136" t="s">
        <v>48</v>
      </c>
      <c r="AE3" s="137"/>
      <c r="AF3" s="137"/>
      <c r="AG3" s="138"/>
      <c r="AH3" s="136" t="s">
        <v>49</v>
      </c>
      <c r="AI3" s="137"/>
      <c r="AJ3" s="137"/>
      <c r="AK3" s="138"/>
      <c r="AL3" s="141" t="s">
        <v>50</v>
      </c>
      <c r="AM3" s="142"/>
      <c r="AN3" s="142"/>
      <c r="AO3" s="143"/>
      <c r="AP3" s="139" t="s">
        <v>22</v>
      </c>
      <c r="AQ3" s="140"/>
      <c r="AR3" s="140"/>
      <c r="AS3" s="140"/>
      <c r="AT3" s="29" t="s">
        <v>39</v>
      </c>
      <c r="AU3" s="30" t="s">
        <v>4</v>
      </c>
      <c r="AV3" s="6" t="s">
        <v>40</v>
      </c>
      <c r="AW3" s="6" t="s">
        <v>41</v>
      </c>
    </row>
    <row r="4" spans="1:49" x14ac:dyDescent="0.3">
      <c r="A4" s="5" t="s">
        <v>130</v>
      </c>
      <c r="B4" s="58" t="s">
        <v>57</v>
      </c>
      <c r="C4" s="59" t="s">
        <v>57</v>
      </c>
      <c r="D4" s="59" t="s">
        <v>57</v>
      </c>
      <c r="E4" s="60" t="s">
        <v>133</v>
      </c>
      <c r="F4" s="59" t="s">
        <v>57</v>
      </c>
      <c r="G4" s="61" t="s">
        <v>57</v>
      </c>
      <c r="H4" s="59" t="s">
        <v>57</v>
      </c>
      <c r="I4" s="59" t="s">
        <v>57</v>
      </c>
      <c r="J4" s="58" t="s">
        <v>133</v>
      </c>
      <c r="K4" s="59" t="s">
        <v>133</v>
      </c>
      <c r="L4" s="59" t="s">
        <v>133</v>
      </c>
      <c r="M4" s="60" t="s">
        <v>133</v>
      </c>
      <c r="N4" s="59" t="s">
        <v>133</v>
      </c>
      <c r="O4" s="59" t="s">
        <v>133</v>
      </c>
      <c r="P4" s="59" t="s">
        <v>133</v>
      </c>
      <c r="Q4" s="59" t="s">
        <v>133</v>
      </c>
      <c r="R4" s="58"/>
      <c r="S4" s="59"/>
      <c r="T4" s="59"/>
      <c r="U4" s="60"/>
      <c r="V4" s="59"/>
      <c r="W4" s="59"/>
      <c r="X4" s="59"/>
      <c r="Y4" s="59"/>
      <c r="Z4" s="58"/>
      <c r="AA4" s="59"/>
      <c r="AB4" s="59"/>
      <c r="AC4" s="59"/>
      <c r="AD4" s="58"/>
      <c r="AE4" s="59"/>
      <c r="AF4" s="59"/>
      <c r="AG4" s="60"/>
      <c r="AH4" s="59"/>
      <c r="AI4" s="59"/>
      <c r="AJ4" s="59"/>
      <c r="AK4" s="59"/>
      <c r="AL4" s="58"/>
      <c r="AM4" s="59"/>
      <c r="AN4" s="59"/>
      <c r="AO4" s="60"/>
      <c r="AP4" s="62">
        <v>2</v>
      </c>
      <c r="AQ4" s="62">
        <v>2</v>
      </c>
      <c r="AR4" s="62">
        <v>2</v>
      </c>
      <c r="AS4" s="62">
        <v>1</v>
      </c>
      <c r="AT4" s="31">
        <v>7</v>
      </c>
      <c r="AU4" s="32">
        <v>0.4375</v>
      </c>
      <c r="AV4" s="63">
        <v>4</v>
      </c>
      <c r="AW4" s="63"/>
    </row>
    <row r="5" spans="1:49" x14ac:dyDescent="0.3">
      <c r="A5" s="3" t="s">
        <v>73</v>
      </c>
      <c r="B5" s="9" t="s">
        <v>57</v>
      </c>
      <c r="C5" s="64" t="s">
        <v>57</v>
      </c>
      <c r="D5" s="64" t="s">
        <v>57</v>
      </c>
      <c r="E5" s="49" t="s">
        <v>57</v>
      </c>
      <c r="F5" s="64" t="s">
        <v>57</v>
      </c>
      <c r="G5" s="64" t="s">
        <v>57</v>
      </c>
      <c r="H5" s="64" t="s">
        <v>57</v>
      </c>
      <c r="I5" s="64" t="s">
        <v>133</v>
      </c>
      <c r="J5" s="9" t="s">
        <v>133</v>
      </c>
      <c r="K5" s="64" t="s">
        <v>133</v>
      </c>
      <c r="L5" s="64" t="s">
        <v>133</v>
      </c>
      <c r="M5" s="49" t="s">
        <v>57</v>
      </c>
      <c r="N5" s="64" t="s">
        <v>57</v>
      </c>
      <c r="O5" s="64" t="s">
        <v>57</v>
      </c>
      <c r="P5" s="64" t="s">
        <v>57</v>
      </c>
      <c r="Q5" s="64" t="s">
        <v>133</v>
      </c>
      <c r="R5" s="9"/>
      <c r="S5" s="64"/>
      <c r="T5" s="64"/>
      <c r="U5" s="49"/>
      <c r="V5" s="64"/>
      <c r="W5" s="64"/>
      <c r="X5" s="64"/>
      <c r="Y5" s="64"/>
      <c r="Z5" s="9"/>
      <c r="AA5" s="64"/>
      <c r="AB5" s="64"/>
      <c r="AC5" s="64"/>
      <c r="AD5" s="9"/>
      <c r="AE5" s="64"/>
      <c r="AF5" s="64"/>
      <c r="AG5" s="49"/>
      <c r="AH5" s="64"/>
      <c r="AI5" s="64"/>
      <c r="AJ5" s="64"/>
      <c r="AK5" s="64"/>
      <c r="AL5" s="9"/>
      <c r="AM5" s="64"/>
      <c r="AN5" s="64"/>
      <c r="AO5" s="49"/>
      <c r="AP5" s="36">
        <v>3</v>
      </c>
      <c r="AQ5" s="36">
        <v>3</v>
      </c>
      <c r="AR5" s="36">
        <v>3</v>
      </c>
      <c r="AS5" s="36">
        <v>2</v>
      </c>
      <c r="AT5" s="65">
        <v>11</v>
      </c>
      <c r="AU5" s="33">
        <v>0.6875</v>
      </c>
      <c r="AV5" s="1">
        <v>4</v>
      </c>
      <c r="AW5" s="1"/>
    </row>
    <row r="6" spans="1:49" x14ac:dyDescent="0.3">
      <c r="A6" s="4" t="s">
        <v>83</v>
      </c>
      <c r="B6" s="38"/>
      <c r="C6" s="66"/>
      <c r="D6" s="66"/>
      <c r="E6" s="67"/>
      <c r="F6" s="66" t="s">
        <v>133</v>
      </c>
      <c r="G6" s="66" t="s">
        <v>133</v>
      </c>
      <c r="H6" s="66" t="s">
        <v>133</v>
      </c>
      <c r="I6" s="66" t="s">
        <v>133</v>
      </c>
      <c r="J6" s="38" t="s">
        <v>133</v>
      </c>
      <c r="K6" s="66" t="s">
        <v>133</v>
      </c>
      <c r="L6" s="66" t="s">
        <v>133</v>
      </c>
      <c r="M6" s="67" t="s">
        <v>133</v>
      </c>
      <c r="N6" s="66" t="s">
        <v>133</v>
      </c>
      <c r="O6" s="66" t="s">
        <v>133</v>
      </c>
      <c r="P6" s="66" t="s">
        <v>57</v>
      </c>
      <c r="Q6" s="66" t="s">
        <v>57</v>
      </c>
      <c r="R6" s="38"/>
      <c r="S6" s="66"/>
      <c r="T6" s="66"/>
      <c r="U6" s="67"/>
      <c r="V6" s="66"/>
      <c r="W6" s="66"/>
      <c r="X6" s="66"/>
      <c r="Y6" s="66"/>
      <c r="Z6" s="38"/>
      <c r="AA6" s="66"/>
      <c r="AB6" s="66"/>
      <c r="AC6" s="66"/>
      <c r="AD6" s="38"/>
      <c r="AE6" s="66"/>
      <c r="AF6" s="66"/>
      <c r="AG6" s="67"/>
      <c r="AH6" s="66"/>
      <c r="AI6" s="66"/>
      <c r="AJ6" s="66"/>
      <c r="AK6" s="66"/>
      <c r="AL6" s="38"/>
      <c r="AM6" s="66"/>
      <c r="AN6" s="66"/>
      <c r="AO6" s="67"/>
      <c r="AP6" s="62">
        <v>0</v>
      </c>
      <c r="AQ6" s="62">
        <v>0</v>
      </c>
      <c r="AR6" s="62">
        <v>1</v>
      </c>
      <c r="AS6" s="62">
        <v>1</v>
      </c>
      <c r="AT6" s="31">
        <v>2</v>
      </c>
      <c r="AU6" s="32">
        <v>0.16666666666666666</v>
      </c>
      <c r="AV6" s="63">
        <v>3</v>
      </c>
      <c r="AW6" s="63"/>
    </row>
    <row r="7" spans="1:49" x14ac:dyDescent="0.3">
      <c r="A7" s="3" t="s">
        <v>90</v>
      </c>
      <c r="B7" s="9"/>
      <c r="C7" s="64"/>
      <c r="D7" s="64"/>
      <c r="E7" s="49"/>
      <c r="F7" s="64" t="s">
        <v>57</v>
      </c>
      <c r="G7" s="64" t="s">
        <v>57</v>
      </c>
      <c r="H7" s="64" t="s">
        <v>57</v>
      </c>
      <c r="I7" s="64" t="s">
        <v>57</v>
      </c>
      <c r="J7" s="9" t="s">
        <v>57</v>
      </c>
      <c r="K7" s="64" t="s">
        <v>57</v>
      </c>
      <c r="L7" s="64" t="s">
        <v>57</v>
      </c>
      <c r="M7" s="49" t="s">
        <v>57</v>
      </c>
      <c r="N7" s="64" t="s">
        <v>57</v>
      </c>
      <c r="O7" s="64" t="s">
        <v>57</v>
      </c>
      <c r="P7" s="64" t="s">
        <v>57</v>
      </c>
      <c r="Q7" s="64" t="s">
        <v>57</v>
      </c>
      <c r="R7" s="9"/>
      <c r="S7" s="64"/>
      <c r="T7" s="64"/>
      <c r="U7" s="49"/>
      <c r="V7" s="64"/>
      <c r="W7" s="64"/>
      <c r="X7" s="64"/>
      <c r="Y7" s="64"/>
      <c r="Z7" s="9"/>
      <c r="AA7" s="64"/>
      <c r="AB7" s="64"/>
      <c r="AC7" s="64"/>
      <c r="AD7" s="9"/>
      <c r="AE7" s="64"/>
      <c r="AF7" s="64"/>
      <c r="AG7" s="49"/>
      <c r="AH7" s="64"/>
      <c r="AI7" s="64"/>
      <c r="AJ7" s="64"/>
      <c r="AK7" s="64"/>
      <c r="AL7" s="9"/>
      <c r="AM7" s="64"/>
      <c r="AN7" s="64"/>
      <c r="AO7" s="49"/>
      <c r="AP7" s="36">
        <v>3</v>
      </c>
      <c r="AQ7" s="36">
        <v>3</v>
      </c>
      <c r="AR7" s="36">
        <v>3</v>
      </c>
      <c r="AS7" s="36">
        <v>3</v>
      </c>
      <c r="AT7" s="65">
        <v>12</v>
      </c>
      <c r="AU7" s="33">
        <v>1</v>
      </c>
      <c r="AV7" s="1">
        <v>3</v>
      </c>
      <c r="AW7" s="1"/>
    </row>
    <row r="8" spans="1:49" x14ac:dyDescent="0.3">
      <c r="A8" s="4"/>
      <c r="B8" s="38"/>
      <c r="C8" s="66"/>
      <c r="D8" s="66"/>
      <c r="E8" s="67"/>
      <c r="F8" s="66"/>
      <c r="G8" s="66" t="s">
        <v>67</v>
      </c>
      <c r="H8" s="66"/>
      <c r="I8" s="66"/>
      <c r="J8" s="38"/>
      <c r="K8" s="66"/>
      <c r="L8" s="66"/>
      <c r="M8" s="67"/>
      <c r="N8" s="66"/>
      <c r="O8" s="66"/>
      <c r="P8" s="66"/>
      <c r="Q8" s="66"/>
      <c r="R8" s="38"/>
      <c r="S8" s="66"/>
      <c r="T8" s="66"/>
      <c r="U8" s="67"/>
      <c r="V8" s="66"/>
      <c r="W8" s="66"/>
      <c r="X8" s="66"/>
      <c r="Y8" s="66"/>
      <c r="Z8" s="38"/>
      <c r="AA8" s="66"/>
      <c r="AB8" s="66"/>
      <c r="AC8" s="66"/>
      <c r="AD8" s="38"/>
      <c r="AE8" s="66"/>
      <c r="AF8" s="66"/>
      <c r="AG8" s="67"/>
      <c r="AH8" s="66"/>
      <c r="AI8" s="66"/>
      <c r="AJ8" s="66"/>
      <c r="AK8" s="66"/>
      <c r="AL8" s="38"/>
      <c r="AM8" s="66"/>
      <c r="AN8" s="66"/>
      <c r="AO8" s="67"/>
      <c r="AP8" s="62"/>
      <c r="AQ8" s="62"/>
      <c r="AR8" s="62"/>
      <c r="AS8" s="62"/>
      <c r="AT8" s="31"/>
      <c r="AU8" s="32"/>
      <c r="AV8" s="63"/>
      <c r="AW8" s="63"/>
    </row>
    <row r="9" spans="1:49" x14ac:dyDescent="0.3">
      <c r="A9" s="3" t="s">
        <v>123</v>
      </c>
      <c r="B9" s="9"/>
      <c r="C9" s="64"/>
      <c r="D9" s="64"/>
      <c r="E9" s="49"/>
      <c r="F9" s="64" t="s">
        <v>57</v>
      </c>
      <c r="G9" s="64" t="s">
        <v>57</v>
      </c>
      <c r="H9" s="64" t="s">
        <v>57</v>
      </c>
      <c r="I9" s="64" t="s">
        <v>57</v>
      </c>
      <c r="J9" s="9"/>
      <c r="K9" s="64"/>
      <c r="L9" s="64"/>
      <c r="M9" s="49"/>
      <c r="N9" s="64"/>
      <c r="O9" s="64"/>
      <c r="P9" s="64"/>
      <c r="Q9" s="64"/>
      <c r="R9" s="9"/>
      <c r="S9" s="64"/>
      <c r="T9" s="64"/>
      <c r="U9" s="49"/>
      <c r="V9" s="64"/>
      <c r="W9" s="64"/>
      <c r="X9" s="64"/>
      <c r="Y9" s="64"/>
      <c r="Z9" s="9"/>
      <c r="AA9" s="64"/>
      <c r="AB9" s="64"/>
      <c r="AC9" s="64"/>
      <c r="AD9" s="9"/>
      <c r="AE9" s="64"/>
      <c r="AF9" s="64"/>
      <c r="AG9" s="49"/>
      <c r="AH9" s="64"/>
      <c r="AI9" s="64"/>
      <c r="AJ9" s="64"/>
      <c r="AK9" s="64"/>
      <c r="AL9" s="9"/>
      <c r="AM9" s="64"/>
      <c r="AN9" s="64"/>
      <c r="AO9" s="49"/>
      <c r="AP9" s="36">
        <v>1</v>
      </c>
      <c r="AQ9" s="36">
        <v>1</v>
      </c>
      <c r="AR9" s="36">
        <v>1</v>
      </c>
      <c r="AS9" s="36">
        <v>1</v>
      </c>
      <c r="AT9" s="65">
        <v>4</v>
      </c>
      <c r="AU9" s="33">
        <v>1</v>
      </c>
      <c r="AV9" s="1">
        <v>1</v>
      </c>
      <c r="AW9" s="1"/>
    </row>
    <row r="10" spans="1:49" x14ac:dyDescent="0.3">
      <c r="A10" s="4" t="s">
        <v>102</v>
      </c>
      <c r="B10" s="38"/>
      <c r="C10" s="66"/>
      <c r="D10" s="66"/>
      <c r="E10" s="67"/>
      <c r="F10" s="66"/>
      <c r="G10" s="66"/>
      <c r="H10" s="66"/>
      <c r="I10" s="66"/>
      <c r="J10" s="38"/>
      <c r="K10" s="66"/>
      <c r="L10" s="66"/>
      <c r="M10" s="67"/>
      <c r="N10" s="66"/>
      <c r="O10" s="66"/>
      <c r="P10" s="66"/>
      <c r="Q10" s="66"/>
      <c r="R10" s="38"/>
      <c r="S10" s="66"/>
      <c r="T10" s="66"/>
      <c r="U10" s="67"/>
      <c r="V10" s="66"/>
      <c r="W10" s="66"/>
      <c r="X10" s="66"/>
      <c r="Y10" s="66"/>
      <c r="Z10" s="38"/>
      <c r="AA10" s="66"/>
      <c r="AB10" s="66"/>
      <c r="AC10" s="66"/>
      <c r="AD10" s="38"/>
      <c r="AE10" s="66"/>
      <c r="AF10" s="66"/>
      <c r="AG10" s="67"/>
      <c r="AH10" s="66"/>
      <c r="AI10" s="66"/>
      <c r="AJ10" s="66"/>
      <c r="AK10" s="66"/>
      <c r="AL10" s="38"/>
      <c r="AM10" s="66"/>
      <c r="AN10" s="66"/>
      <c r="AO10" s="67"/>
      <c r="AP10" s="62"/>
      <c r="AQ10" s="62"/>
      <c r="AR10" s="62"/>
      <c r="AS10" s="62"/>
      <c r="AT10" s="31"/>
      <c r="AU10" s="32"/>
      <c r="AV10" s="63"/>
      <c r="AW10" s="63"/>
    </row>
    <row r="11" spans="1:49" x14ac:dyDescent="0.3">
      <c r="A11" s="3" t="s">
        <v>109</v>
      </c>
      <c r="B11" s="9"/>
      <c r="C11" s="64"/>
      <c r="D11" s="64"/>
      <c r="E11" s="49"/>
      <c r="F11" s="64" t="s">
        <v>57</v>
      </c>
      <c r="G11" s="64" t="s">
        <v>57</v>
      </c>
      <c r="H11" s="64" t="s">
        <v>57</v>
      </c>
      <c r="I11" s="64" t="s">
        <v>133</v>
      </c>
      <c r="J11" s="9"/>
      <c r="K11" s="64"/>
      <c r="L11" s="64"/>
      <c r="M11" s="49"/>
      <c r="N11" s="64"/>
      <c r="O11" s="64"/>
      <c r="P11" s="64"/>
      <c r="Q11" s="64"/>
      <c r="R11" s="9"/>
      <c r="S11" s="64"/>
      <c r="T11" s="64"/>
      <c r="U11" s="49"/>
      <c r="V11" s="64"/>
      <c r="W11" s="64"/>
      <c r="X11" s="64"/>
      <c r="Y11" s="64"/>
      <c r="Z11" s="9"/>
      <c r="AA11" s="64"/>
      <c r="AB11" s="64"/>
      <c r="AC11" s="64"/>
      <c r="AD11" s="9"/>
      <c r="AE11" s="64"/>
      <c r="AF11" s="64"/>
      <c r="AG11" s="49"/>
      <c r="AH11" s="64"/>
      <c r="AI11" s="64"/>
      <c r="AJ11" s="64"/>
      <c r="AK11" s="64"/>
      <c r="AL11" s="9"/>
      <c r="AM11" s="64"/>
      <c r="AN11" s="64"/>
      <c r="AO11" s="49"/>
      <c r="AP11" s="36">
        <v>1</v>
      </c>
      <c r="AQ11" s="36">
        <v>1</v>
      </c>
      <c r="AR11" s="36">
        <v>1</v>
      </c>
      <c r="AS11" s="36">
        <v>0</v>
      </c>
      <c r="AT11" s="65">
        <v>3</v>
      </c>
      <c r="AU11" s="33">
        <v>0.75</v>
      </c>
      <c r="AV11" s="1">
        <v>1</v>
      </c>
      <c r="AW11" s="1"/>
    </row>
    <row r="12" spans="1:49" x14ac:dyDescent="0.3">
      <c r="A12" s="4" t="s">
        <v>81</v>
      </c>
      <c r="B12" s="38"/>
      <c r="C12" s="66"/>
      <c r="D12" s="66"/>
      <c r="E12" s="67"/>
      <c r="F12" s="66" t="s">
        <v>57</v>
      </c>
      <c r="G12" s="66" t="s">
        <v>57</v>
      </c>
      <c r="H12" s="66" t="s">
        <v>57</v>
      </c>
      <c r="I12" s="66" t="s">
        <v>133</v>
      </c>
      <c r="J12" s="38"/>
      <c r="K12" s="66"/>
      <c r="L12" s="66"/>
      <c r="M12" s="67"/>
      <c r="N12" s="66"/>
      <c r="O12" s="66"/>
      <c r="P12" s="66"/>
      <c r="Q12" s="66"/>
      <c r="R12" s="38"/>
      <c r="S12" s="66"/>
      <c r="T12" s="66"/>
      <c r="U12" s="67"/>
      <c r="V12" s="66"/>
      <c r="W12" s="66"/>
      <c r="X12" s="66"/>
      <c r="Y12" s="66"/>
      <c r="Z12" s="38"/>
      <c r="AA12" s="66"/>
      <c r="AB12" s="66"/>
      <c r="AC12" s="66"/>
      <c r="AD12" s="38"/>
      <c r="AE12" s="66"/>
      <c r="AF12" s="66"/>
      <c r="AG12" s="67"/>
      <c r="AH12" s="66"/>
      <c r="AI12" s="66"/>
      <c r="AJ12" s="66"/>
      <c r="AK12" s="66"/>
      <c r="AL12" s="38"/>
      <c r="AM12" s="66"/>
      <c r="AN12" s="66"/>
      <c r="AO12" s="67"/>
      <c r="AP12" s="62">
        <v>1</v>
      </c>
      <c r="AQ12" s="62">
        <v>1</v>
      </c>
      <c r="AR12" s="62">
        <v>1</v>
      </c>
      <c r="AS12" s="62">
        <v>0</v>
      </c>
      <c r="AT12" s="31">
        <v>3</v>
      </c>
      <c r="AU12" s="32">
        <v>0.75</v>
      </c>
      <c r="AV12" s="63">
        <v>1</v>
      </c>
      <c r="AW12" s="63"/>
    </row>
    <row r="13" spans="1:49" x14ac:dyDescent="0.3">
      <c r="A13" s="3"/>
      <c r="B13" s="9"/>
      <c r="C13" s="64"/>
      <c r="D13" s="64"/>
      <c r="E13" s="49"/>
      <c r="F13" s="64"/>
      <c r="G13" s="64"/>
      <c r="H13" s="64"/>
      <c r="I13" s="64"/>
      <c r="J13" s="9"/>
      <c r="K13" s="64"/>
      <c r="L13" s="64"/>
      <c r="M13" s="49"/>
      <c r="N13" s="64"/>
      <c r="O13" s="64"/>
      <c r="P13" s="64"/>
      <c r="Q13" s="64"/>
      <c r="R13" s="9"/>
      <c r="S13" s="64"/>
      <c r="T13" s="64"/>
      <c r="U13" s="49"/>
      <c r="V13" s="64"/>
      <c r="W13" s="64"/>
      <c r="X13" s="64"/>
      <c r="Y13" s="64"/>
      <c r="Z13" s="9"/>
      <c r="AA13" s="64"/>
      <c r="AB13" s="64"/>
      <c r="AC13" s="64"/>
      <c r="AD13" s="9"/>
      <c r="AE13" s="64"/>
      <c r="AF13" s="64"/>
      <c r="AG13" s="49"/>
      <c r="AH13" s="64"/>
      <c r="AI13" s="64"/>
      <c r="AJ13" s="64"/>
      <c r="AK13" s="64"/>
      <c r="AL13" s="9"/>
      <c r="AM13" s="64"/>
      <c r="AN13" s="64"/>
      <c r="AO13" s="49"/>
      <c r="AP13" s="36"/>
      <c r="AQ13" s="36"/>
      <c r="AR13" s="36"/>
      <c r="AS13" s="36"/>
      <c r="AT13" s="65"/>
      <c r="AU13" s="33"/>
      <c r="AV13" s="1"/>
      <c r="AW13" s="1"/>
    </row>
    <row r="14" spans="1:49" x14ac:dyDescent="0.3">
      <c r="A14" s="4"/>
      <c r="B14" s="38"/>
      <c r="C14" s="66"/>
      <c r="D14" s="66"/>
      <c r="E14" s="67"/>
      <c r="F14" s="66"/>
      <c r="G14" s="66"/>
      <c r="H14" s="66"/>
      <c r="I14" s="66"/>
      <c r="J14" s="38"/>
      <c r="K14" s="66"/>
      <c r="L14" s="66"/>
      <c r="M14" s="67"/>
      <c r="N14" s="66"/>
      <c r="O14" s="66"/>
      <c r="P14" s="66"/>
      <c r="Q14" s="66"/>
      <c r="R14" s="38"/>
      <c r="S14" s="66"/>
      <c r="T14" s="66"/>
      <c r="U14" s="67"/>
      <c r="V14" s="66"/>
      <c r="W14" s="66"/>
      <c r="X14" s="66"/>
      <c r="Y14" s="66"/>
      <c r="Z14" s="38"/>
      <c r="AA14" s="66"/>
      <c r="AB14" s="66"/>
      <c r="AC14" s="66"/>
      <c r="AD14" s="38"/>
      <c r="AE14" s="66"/>
      <c r="AF14" s="66"/>
      <c r="AG14" s="67"/>
      <c r="AH14" s="66"/>
      <c r="AI14" s="66"/>
      <c r="AJ14" s="66"/>
      <c r="AK14" s="66"/>
      <c r="AL14" s="38"/>
      <c r="AM14" s="66"/>
      <c r="AN14" s="66"/>
      <c r="AO14" s="67"/>
      <c r="AP14" s="62"/>
      <c r="AQ14" s="62"/>
      <c r="AR14" s="62"/>
      <c r="AS14" s="62"/>
      <c r="AT14" s="31"/>
      <c r="AU14" s="32"/>
      <c r="AV14" s="63"/>
      <c r="AW14" s="63"/>
    </row>
    <row r="15" spans="1:49" x14ac:dyDescent="0.3">
      <c r="A15" s="3"/>
      <c r="B15" s="9"/>
      <c r="C15" s="64"/>
      <c r="D15" s="64"/>
      <c r="E15" s="49"/>
      <c r="F15" s="64"/>
      <c r="G15" s="64"/>
      <c r="H15" s="64"/>
      <c r="I15" s="64"/>
      <c r="J15" s="9"/>
      <c r="K15" s="64"/>
      <c r="L15" s="64"/>
      <c r="M15" s="49"/>
      <c r="N15" s="64"/>
      <c r="O15" s="64"/>
      <c r="P15" s="64"/>
      <c r="Q15" s="64"/>
      <c r="R15" s="9"/>
      <c r="S15" s="64"/>
      <c r="T15" s="64"/>
      <c r="U15" s="49"/>
      <c r="V15" s="64"/>
      <c r="W15" s="64"/>
      <c r="X15" s="64"/>
      <c r="Y15" s="64"/>
      <c r="Z15" s="9"/>
      <c r="AA15" s="64"/>
      <c r="AB15" s="64"/>
      <c r="AC15" s="64"/>
      <c r="AD15" s="9"/>
      <c r="AE15" s="64"/>
      <c r="AF15" s="64"/>
      <c r="AG15" s="49"/>
      <c r="AH15" s="64"/>
      <c r="AI15" s="64"/>
      <c r="AJ15" s="64"/>
      <c r="AK15" s="64"/>
      <c r="AL15" s="9"/>
      <c r="AM15" s="64"/>
      <c r="AN15" s="64"/>
      <c r="AO15" s="49"/>
      <c r="AP15" s="36"/>
      <c r="AQ15" s="36"/>
      <c r="AR15" s="36"/>
      <c r="AS15" s="36"/>
      <c r="AT15" s="65"/>
      <c r="AU15" s="33"/>
      <c r="AV15" s="1"/>
      <c r="AW15" s="1"/>
    </row>
    <row r="16" spans="1:49" x14ac:dyDescent="0.3">
      <c r="A16" s="4"/>
      <c r="B16" s="38"/>
      <c r="C16" s="66"/>
      <c r="D16" s="66"/>
      <c r="E16" s="67"/>
      <c r="F16" s="66"/>
      <c r="G16" s="66"/>
      <c r="H16" s="66"/>
      <c r="I16" s="66"/>
      <c r="J16" s="38"/>
      <c r="K16" s="66"/>
      <c r="L16" s="66"/>
      <c r="M16" s="67"/>
      <c r="N16" s="66"/>
      <c r="O16" s="66"/>
      <c r="P16" s="66"/>
      <c r="Q16" s="66"/>
      <c r="R16" s="38"/>
      <c r="S16" s="66"/>
      <c r="T16" s="66"/>
      <c r="U16" s="67"/>
      <c r="V16" s="66"/>
      <c r="W16" s="66"/>
      <c r="X16" s="66"/>
      <c r="Y16" s="66"/>
      <c r="Z16" s="38"/>
      <c r="AA16" s="66"/>
      <c r="AB16" s="66"/>
      <c r="AC16" s="66"/>
      <c r="AD16" s="38"/>
      <c r="AE16" s="66"/>
      <c r="AF16" s="66"/>
      <c r="AG16" s="67"/>
      <c r="AH16" s="66"/>
      <c r="AI16" s="66"/>
      <c r="AJ16" s="66"/>
      <c r="AK16" s="66"/>
      <c r="AL16" s="38"/>
      <c r="AM16" s="66"/>
      <c r="AN16" s="66"/>
      <c r="AO16" s="67"/>
      <c r="AP16" s="62"/>
      <c r="AQ16" s="62"/>
      <c r="AR16" s="62"/>
      <c r="AS16" s="62"/>
      <c r="AT16" s="31"/>
      <c r="AU16" s="32"/>
      <c r="AV16" s="63"/>
      <c r="AW16" s="63"/>
    </row>
    <row r="17" spans="1:49" x14ac:dyDescent="0.3">
      <c r="A17" s="3"/>
      <c r="B17" s="9"/>
      <c r="C17" s="64"/>
      <c r="D17" s="64"/>
      <c r="E17" s="49"/>
      <c r="F17" s="64"/>
      <c r="G17" s="64"/>
      <c r="H17" s="64"/>
      <c r="I17" s="64"/>
      <c r="J17" s="9"/>
      <c r="K17" s="64"/>
      <c r="L17" s="64"/>
      <c r="M17" s="49"/>
      <c r="N17" s="64"/>
      <c r="O17" s="64"/>
      <c r="P17" s="64"/>
      <c r="Q17" s="64"/>
      <c r="R17" s="9"/>
      <c r="S17" s="64"/>
      <c r="T17" s="64"/>
      <c r="U17" s="49"/>
      <c r="V17" s="64"/>
      <c r="W17" s="64"/>
      <c r="X17" s="64"/>
      <c r="Y17" s="64"/>
      <c r="Z17" s="9"/>
      <c r="AA17" s="64"/>
      <c r="AB17" s="64"/>
      <c r="AC17" s="64"/>
      <c r="AD17" s="9"/>
      <c r="AE17" s="64"/>
      <c r="AF17" s="64"/>
      <c r="AG17" s="49"/>
      <c r="AH17" s="64"/>
      <c r="AI17" s="64"/>
      <c r="AJ17" s="64"/>
      <c r="AK17" s="64"/>
      <c r="AL17" s="9"/>
      <c r="AM17" s="64"/>
      <c r="AN17" s="64"/>
      <c r="AO17" s="49"/>
      <c r="AP17" s="36"/>
      <c r="AQ17" s="36"/>
      <c r="AR17" s="36"/>
      <c r="AS17" s="36"/>
      <c r="AT17" s="65"/>
      <c r="AU17" s="33"/>
      <c r="AV17" s="1"/>
      <c r="AW17" s="1"/>
    </row>
    <row r="18" spans="1:49" x14ac:dyDescent="0.3">
      <c r="A18" s="4"/>
      <c r="B18" s="38"/>
      <c r="C18" s="66"/>
      <c r="D18" s="66"/>
      <c r="E18" s="67"/>
      <c r="F18" s="66"/>
      <c r="G18" s="66"/>
      <c r="H18" s="66"/>
      <c r="I18" s="66"/>
      <c r="J18" s="38"/>
      <c r="K18" s="66"/>
      <c r="L18" s="66"/>
      <c r="M18" s="67"/>
      <c r="N18" s="66"/>
      <c r="O18" s="66"/>
      <c r="P18" s="66"/>
      <c r="Q18" s="66"/>
      <c r="R18" s="38"/>
      <c r="S18" s="66"/>
      <c r="T18" s="66"/>
      <c r="U18" s="67"/>
      <c r="V18" s="66"/>
      <c r="W18" s="66"/>
      <c r="X18" s="66"/>
      <c r="Y18" s="66"/>
      <c r="Z18" s="38"/>
      <c r="AA18" s="66"/>
      <c r="AB18" s="66"/>
      <c r="AC18" s="66"/>
      <c r="AD18" s="38"/>
      <c r="AE18" s="66"/>
      <c r="AF18" s="66"/>
      <c r="AG18" s="67"/>
      <c r="AH18" s="66"/>
      <c r="AI18" s="66"/>
      <c r="AJ18" s="66"/>
      <c r="AK18" s="66"/>
      <c r="AL18" s="38"/>
      <c r="AM18" s="66"/>
      <c r="AN18" s="66"/>
      <c r="AO18" s="67"/>
      <c r="AP18" s="62"/>
      <c r="AQ18" s="62"/>
      <c r="AR18" s="62"/>
      <c r="AS18" s="62"/>
      <c r="AT18" s="31"/>
      <c r="AU18" s="32"/>
      <c r="AV18" s="63"/>
      <c r="AW18" s="63"/>
    </row>
    <row r="19" spans="1:49" x14ac:dyDescent="0.3">
      <c r="A19" s="3"/>
      <c r="B19" s="9"/>
      <c r="C19" s="64"/>
      <c r="D19" s="64"/>
      <c r="E19" s="49"/>
      <c r="F19" s="64"/>
      <c r="G19" s="64"/>
      <c r="H19" s="64"/>
      <c r="I19" s="64"/>
      <c r="J19" s="9"/>
      <c r="K19" s="64"/>
      <c r="L19" s="64"/>
      <c r="M19" s="49"/>
      <c r="N19" s="64"/>
      <c r="O19" s="64"/>
      <c r="P19" s="64"/>
      <c r="Q19" s="64"/>
      <c r="R19" s="9"/>
      <c r="S19" s="64"/>
      <c r="T19" s="64"/>
      <c r="U19" s="49"/>
      <c r="V19" s="64"/>
      <c r="W19" s="64"/>
      <c r="X19" s="64"/>
      <c r="Y19" s="64"/>
      <c r="Z19" s="9"/>
      <c r="AA19" s="64"/>
      <c r="AB19" s="64"/>
      <c r="AC19" s="64"/>
      <c r="AD19" s="9"/>
      <c r="AE19" s="64"/>
      <c r="AF19" s="64"/>
      <c r="AG19" s="49"/>
      <c r="AH19" s="64"/>
      <c r="AI19" s="64"/>
      <c r="AJ19" s="64"/>
      <c r="AK19" s="64"/>
      <c r="AL19" s="9"/>
      <c r="AM19" s="64"/>
      <c r="AN19" s="64"/>
      <c r="AO19" s="49"/>
      <c r="AP19" s="36"/>
      <c r="AQ19" s="36"/>
      <c r="AR19" s="36"/>
      <c r="AS19" s="36"/>
      <c r="AT19" s="65"/>
      <c r="AU19" s="33"/>
      <c r="AV19" s="1"/>
      <c r="AW19" s="1"/>
    </row>
    <row r="20" spans="1:49" x14ac:dyDescent="0.3">
      <c r="A20" s="4"/>
      <c r="B20" s="38"/>
      <c r="C20" s="66"/>
      <c r="D20" s="66"/>
      <c r="E20" s="67"/>
      <c r="F20" s="66"/>
      <c r="G20" s="66"/>
      <c r="H20" s="66"/>
      <c r="I20" s="66"/>
      <c r="J20" s="38"/>
      <c r="K20" s="66"/>
      <c r="L20" s="66"/>
      <c r="M20" s="67"/>
      <c r="N20" s="66"/>
      <c r="O20" s="66"/>
      <c r="P20" s="66"/>
      <c r="Q20" s="66"/>
      <c r="R20" s="38"/>
      <c r="S20" s="66"/>
      <c r="T20" s="66"/>
      <c r="U20" s="67"/>
      <c r="V20" s="66"/>
      <c r="W20" s="66"/>
      <c r="X20" s="66"/>
      <c r="Y20" s="66"/>
      <c r="Z20" s="38"/>
      <c r="AA20" s="66"/>
      <c r="AB20" s="66"/>
      <c r="AC20" s="66"/>
      <c r="AD20" s="38"/>
      <c r="AE20" s="66"/>
      <c r="AF20" s="66"/>
      <c r="AG20" s="67"/>
      <c r="AH20" s="66"/>
      <c r="AI20" s="66"/>
      <c r="AJ20" s="66"/>
      <c r="AK20" s="66"/>
      <c r="AL20" s="38"/>
      <c r="AM20" s="66"/>
      <c r="AN20" s="66"/>
      <c r="AO20" s="67"/>
      <c r="AP20" s="62"/>
      <c r="AQ20" s="62"/>
      <c r="AR20" s="62"/>
      <c r="AS20" s="62"/>
      <c r="AT20" s="31"/>
      <c r="AU20" s="32"/>
      <c r="AV20" s="63"/>
      <c r="AW20" s="63"/>
    </row>
    <row r="21" spans="1:49" x14ac:dyDescent="0.3">
      <c r="A21" s="3"/>
      <c r="B21" s="9"/>
      <c r="C21" s="64"/>
      <c r="D21" s="64"/>
      <c r="E21" s="49"/>
      <c r="F21" s="64"/>
      <c r="G21" s="64"/>
      <c r="H21" s="64"/>
      <c r="I21" s="64"/>
      <c r="J21" s="9"/>
      <c r="K21" s="64"/>
      <c r="L21" s="64"/>
      <c r="M21" s="49"/>
      <c r="N21" s="64"/>
      <c r="O21" s="64"/>
      <c r="P21" s="64"/>
      <c r="Q21" s="64"/>
      <c r="R21" s="9"/>
      <c r="S21" s="64"/>
      <c r="T21" s="64"/>
      <c r="U21" s="49"/>
      <c r="V21" s="64"/>
      <c r="W21" s="64"/>
      <c r="X21" s="64"/>
      <c r="Y21" s="64"/>
      <c r="Z21" s="9"/>
      <c r="AA21" s="64"/>
      <c r="AB21" s="64"/>
      <c r="AC21" s="64"/>
      <c r="AD21" s="9"/>
      <c r="AE21" s="64"/>
      <c r="AF21" s="64"/>
      <c r="AG21" s="49"/>
      <c r="AH21" s="64"/>
      <c r="AI21" s="64"/>
      <c r="AJ21" s="64"/>
      <c r="AK21" s="64"/>
      <c r="AL21" s="9"/>
      <c r="AM21" s="64"/>
      <c r="AN21" s="64"/>
      <c r="AO21" s="49"/>
      <c r="AP21" s="36"/>
      <c r="AQ21" s="36"/>
      <c r="AR21" s="36"/>
      <c r="AS21" s="36"/>
      <c r="AT21" s="65"/>
      <c r="AU21" s="33"/>
      <c r="AV21" s="1"/>
      <c r="AW21" s="1"/>
    </row>
    <row r="22" spans="1:49" x14ac:dyDescent="0.3">
      <c r="A22" s="4"/>
      <c r="B22" s="38"/>
      <c r="C22" s="66"/>
      <c r="D22" s="66"/>
      <c r="E22" s="67"/>
      <c r="F22" s="66"/>
      <c r="G22" s="66"/>
      <c r="H22" s="66"/>
      <c r="I22" s="66"/>
      <c r="J22" s="38"/>
      <c r="K22" s="66"/>
      <c r="L22" s="66"/>
      <c r="M22" s="67"/>
      <c r="N22" s="66"/>
      <c r="O22" s="66"/>
      <c r="P22" s="66"/>
      <c r="Q22" s="66"/>
      <c r="R22" s="38"/>
      <c r="S22" s="66"/>
      <c r="T22" s="66"/>
      <c r="U22" s="67"/>
      <c r="V22" s="66"/>
      <c r="W22" s="66"/>
      <c r="X22" s="66"/>
      <c r="Y22" s="66"/>
      <c r="Z22" s="38"/>
      <c r="AA22" s="66"/>
      <c r="AB22" s="66"/>
      <c r="AC22" s="66"/>
      <c r="AD22" s="38"/>
      <c r="AE22" s="66"/>
      <c r="AF22" s="66"/>
      <c r="AG22" s="67"/>
      <c r="AH22" s="66"/>
      <c r="AI22" s="66"/>
      <c r="AJ22" s="66"/>
      <c r="AK22" s="66"/>
      <c r="AL22" s="38"/>
      <c r="AM22" s="66"/>
      <c r="AN22" s="66"/>
      <c r="AO22" s="67"/>
      <c r="AP22" s="62"/>
      <c r="AQ22" s="62"/>
      <c r="AR22" s="62"/>
      <c r="AS22" s="62"/>
      <c r="AT22" s="31"/>
      <c r="AU22" s="32"/>
      <c r="AV22" s="63"/>
      <c r="AW22" s="63"/>
    </row>
    <row r="23" spans="1:49" x14ac:dyDescent="0.3">
      <c r="A23" s="3"/>
      <c r="B23" s="9"/>
      <c r="C23" s="64"/>
      <c r="D23" s="64"/>
      <c r="E23" s="49"/>
      <c r="F23" s="64"/>
      <c r="G23" s="64"/>
      <c r="H23" s="64"/>
      <c r="I23" s="64"/>
      <c r="J23" s="9"/>
      <c r="K23" s="64"/>
      <c r="L23" s="64"/>
      <c r="M23" s="49"/>
      <c r="N23" s="64"/>
      <c r="O23" s="64"/>
      <c r="P23" s="64"/>
      <c r="Q23" s="64"/>
      <c r="R23" s="9"/>
      <c r="S23" s="64"/>
      <c r="T23" s="64"/>
      <c r="U23" s="49"/>
      <c r="V23" s="64"/>
      <c r="W23" s="64"/>
      <c r="X23" s="64"/>
      <c r="Y23" s="64"/>
      <c r="Z23" s="9"/>
      <c r="AA23" s="64"/>
      <c r="AB23" s="64"/>
      <c r="AC23" s="64"/>
      <c r="AD23" s="9"/>
      <c r="AE23" s="64"/>
      <c r="AF23" s="64"/>
      <c r="AG23" s="49"/>
      <c r="AH23" s="64"/>
      <c r="AI23" s="64"/>
      <c r="AJ23" s="64"/>
      <c r="AK23" s="64"/>
      <c r="AL23" s="9"/>
      <c r="AM23" s="64"/>
      <c r="AN23" s="64"/>
      <c r="AO23" s="49"/>
      <c r="AP23" s="36"/>
      <c r="AQ23" s="36"/>
      <c r="AR23" s="36"/>
      <c r="AS23" s="36"/>
      <c r="AT23" s="65"/>
      <c r="AU23" s="33"/>
      <c r="AV23" s="1"/>
      <c r="AW23" s="1"/>
    </row>
    <row r="24" spans="1:49" x14ac:dyDescent="0.3">
      <c r="A24" s="4"/>
      <c r="B24" s="38"/>
      <c r="C24" s="66"/>
      <c r="D24" s="66"/>
      <c r="E24" s="67"/>
      <c r="F24" s="66"/>
      <c r="G24" s="66"/>
      <c r="H24" s="66"/>
      <c r="I24" s="66"/>
      <c r="J24" s="38"/>
      <c r="K24" s="66"/>
      <c r="L24" s="66"/>
      <c r="M24" s="67"/>
      <c r="N24" s="66"/>
      <c r="O24" s="66"/>
      <c r="P24" s="66"/>
      <c r="Q24" s="66"/>
      <c r="R24" s="38"/>
      <c r="S24" s="66"/>
      <c r="T24" s="66"/>
      <c r="U24" s="67"/>
      <c r="V24" s="66"/>
      <c r="W24" s="66"/>
      <c r="X24" s="66"/>
      <c r="Y24" s="66"/>
      <c r="Z24" s="38"/>
      <c r="AA24" s="66"/>
      <c r="AB24" s="66"/>
      <c r="AC24" s="66"/>
      <c r="AD24" s="38"/>
      <c r="AE24" s="66"/>
      <c r="AF24" s="66"/>
      <c r="AG24" s="67"/>
      <c r="AH24" s="66"/>
      <c r="AI24" s="66"/>
      <c r="AJ24" s="66"/>
      <c r="AK24" s="66"/>
      <c r="AL24" s="38"/>
      <c r="AM24" s="66"/>
      <c r="AN24" s="66"/>
      <c r="AO24" s="67"/>
      <c r="AP24" s="62"/>
      <c r="AQ24" s="62"/>
      <c r="AR24" s="62"/>
      <c r="AS24" s="62"/>
      <c r="AT24" s="31"/>
      <c r="AU24" s="32"/>
      <c r="AV24" s="63"/>
      <c r="AW24" s="63"/>
    </row>
    <row r="25" spans="1:49" x14ac:dyDescent="0.3">
      <c r="A25" s="3"/>
      <c r="B25" s="9"/>
      <c r="C25" s="64"/>
      <c r="D25" s="64"/>
      <c r="E25" s="49"/>
      <c r="F25" s="64"/>
      <c r="G25" s="64"/>
      <c r="H25" s="64"/>
      <c r="I25" s="64"/>
      <c r="J25" s="9"/>
      <c r="K25" s="64"/>
      <c r="L25" s="64"/>
      <c r="M25" s="49"/>
      <c r="N25" s="64"/>
      <c r="O25" s="64"/>
      <c r="P25" s="64"/>
      <c r="Q25" s="64"/>
      <c r="R25" s="9"/>
      <c r="S25" s="64"/>
      <c r="T25" s="64"/>
      <c r="U25" s="49"/>
      <c r="V25" s="64"/>
      <c r="W25" s="64"/>
      <c r="X25" s="64"/>
      <c r="Y25" s="64"/>
      <c r="Z25" s="9"/>
      <c r="AA25" s="64"/>
      <c r="AB25" s="64"/>
      <c r="AC25" s="64"/>
      <c r="AD25" s="9"/>
      <c r="AE25" s="64"/>
      <c r="AF25" s="64"/>
      <c r="AG25" s="49"/>
      <c r="AH25" s="64"/>
      <c r="AI25" s="64"/>
      <c r="AJ25" s="64"/>
      <c r="AK25" s="64"/>
      <c r="AL25" s="9"/>
      <c r="AM25" s="64"/>
      <c r="AN25" s="64"/>
      <c r="AO25" s="49"/>
      <c r="AP25" s="36"/>
      <c r="AQ25" s="36"/>
      <c r="AR25" s="36"/>
      <c r="AS25" s="36"/>
      <c r="AT25" s="65"/>
      <c r="AU25" s="33"/>
      <c r="AV25" s="1"/>
      <c r="AW25" s="1"/>
    </row>
    <row r="26" spans="1:49" x14ac:dyDescent="0.3">
      <c r="A26" s="4"/>
      <c r="B26" s="38"/>
      <c r="C26" s="66"/>
      <c r="D26" s="66"/>
      <c r="E26" s="67"/>
      <c r="F26" s="66"/>
      <c r="G26" s="66"/>
      <c r="H26" s="66"/>
      <c r="I26" s="66"/>
      <c r="J26" s="38"/>
      <c r="K26" s="66"/>
      <c r="L26" s="66"/>
      <c r="M26" s="67"/>
      <c r="N26" s="66"/>
      <c r="O26" s="66"/>
      <c r="P26" s="66"/>
      <c r="Q26" s="66"/>
      <c r="R26" s="38"/>
      <c r="S26" s="66"/>
      <c r="T26" s="66"/>
      <c r="U26" s="67"/>
      <c r="V26" s="66"/>
      <c r="W26" s="66"/>
      <c r="X26" s="66"/>
      <c r="Y26" s="66"/>
      <c r="Z26" s="38"/>
      <c r="AA26" s="66"/>
      <c r="AB26" s="66"/>
      <c r="AC26" s="66"/>
      <c r="AD26" s="38"/>
      <c r="AE26" s="66"/>
      <c r="AF26" s="66"/>
      <c r="AG26" s="67"/>
      <c r="AH26" s="66"/>
      <c r="AI26" s="66"/>
      <c r="AJ26" s="66"/>
      <c r="AK26" s="66"/>
      <c r="AL26" s="38"/>
      <c r="AM26" s="66"/>
      <c r="AN26" s="66"/>
      <c r="AO26" s="67"/>
      <c r="AP26" s="62"/>
      <c r="AQ26" s="62"/>
      <c r="AR26" s="62"/>
      <c r="AS26" s="62"/>
      <c r="AT26" s="31"/>
      <c r="AU26" s="32"/>
      <c r="AV26" s="63"/>
      <c r="AW26" s="63"/>
    </row>
    <row r="27" spans="1:49" x14ac:dyDescent="0.3">
      <c r="A27" s="3"/>
      <c r="B27" s="9"/>
      <c r="C27" s="64"/>
      <c r="D27" s="64"/>
      <c r="E27" s="49"/>
      <c r="F27" s="64"/>
      <c r="G27" s="64"/>
      <c r="H27" s="64"/>
      <c r="I27" s="64"/>
      <c r="J27" s="9"/>
      <c r="K27" s="64"/>
      <c r="L27" s="64"/>
      <c r="M27" s="49"/>
      <c r="N27" s="64"/>
      <c r="O27" s="64"/>
      <c r="P27" s="64"/>
      <c r="Q27" s="64"/>
      <c r="R27" s="9"/>
      <c r="S27" s="64"/>
      <c r="T27" s="64"/>
      <c r="U27" s="49"/>
      <c r="V27" s="64"/>
      <c r="W27" s="64"/>
      <c r="X27" s="64"/>
      <c r="Y27" s="64"/>
      <c r="Z27" s="9"/>
      <c r="AA27" s="64"/>
      <c r="AB27" s="64"/>
      <c r="AC27" s="64"/>
      <c r="AD27" s="9"/>
      <c r="AE27" s="64"/>
      <c r="AF27" s="64"/>
      <c r="AG27" s="49"/>
      <c r="AH27" s="64"/>
      <c r="AI27" s="64"/>
      <c r="AJ27" s="64"/>
      <c r="AK27" s="64"/>
      <c r="AL27" s="9"/>
      <c r="AM27" s="64"/>
      <c r="AN27" s="64"/>
      <c r="AO27" s="49"/>
      <c r="AP27" s="36"/>
      <c r="AQ27" s="36"/>
      <c r="AR27" s="36"/>
      <c r="AS27" s="36"/>
      <c r="AT27" s="65"/>
      <c r="AU27" s="33"/>
      <c r="AV27" s="1"/>
      <c r="AW27" s="1"/>
    </row>
    <row r="28" spans="1:49" x14ac:dyDescent="0.3">
      <c r="A28" s="4"/>
      <c r="B28" s="38"/>
      <c r="C28" s="66"/>
      <c r="D28" s="66"/>
      <c r="E28" s="67"/>
      <c r="F28" s="66"/>
      <c r="G28" s="66"/>
      <c r="H28" s="66"/>
      <c r="I28" s="66"/>
      <c r="J28" s="38"/>
      <c r="K28" s="66"/>
      <c r="L28" s="66"/>
      <c r="M28" s="67"/>
      <c r="N28" s="66"/>
      <c r="O28" s="66"/>
      <c r="P28" s="66"/>
      <c r="Q28" s="66"/>
      <c r="R28" s="38"/>
      <c r="S28" s="66"/>
      <c r="T28" s="66"/>
      <c r="U28" s="67"/>
      <c r="V28" s="66"/>
      <c r="W28" s="66"/>
      <c r="X28" s="66"/>
      <c r="Y28" s="66"/>
      <c r="Z28" s="38"/>
      <c r="AA28" s="66"/>
      <c r="AB28" s="66"/>
      <c r="AC28" s="66"/>
      <c r="AD28" s="38"/>
      <c r="AE28" s="66"/>
      <c r="AF28" s="66"/>
      <c r="AG28" s="67"/>
      <c r="AH28" s="66"/>
      <c r="AI28" s="66"/>
      <c r="AJ28" s="66"/>
      <c r="AK28" s="66"/>
      <c r="AL28" s="38"/>
      <c r="AM28" s="66"/>
      <c r="AN28" s="66"/>
      <c r="AO28" s="67"/>
      <c r="AP28" s="62"/>
      <c r="AQ28" s="62"/>
      <c r="AR28" s="62"/>
      <c r="AS28" s="62"/>
      <c r="AT28" s="31"/>
      <c r="AU28" s="32"/>
      <c r="AV28" s="63"/>
      <c r="AW28" s="63"/>
    </row>
    <row r="29" spans="1:49" x14ac:dyDescent="0.3">
      <c r="A29" s="3"/>
      <c r="B29" s="9"/>
      <c r="C29" s="64"/>
      <c r="D29" s="64"/>
      <c r="E29" s="49"/>
      <c r="F29" s="64"/>
      <c r="G29" s="64"/>
      <c r="H29" s="64"/>
      <c r="I29" s="64"/>
      <c r="J29" s="9"/>
      <c r="K29" s="64"/>
      <c r="L29" s="64"/>
      <c r="M29" s="49"/>
      <c r="N29" s="64"/>
      <c r="O29" s="64"/>
      <c r="P29" s="64"/>
      <c r="Q29" s="64"/>
      <c r="R29" s="9"/>
      <c r="S29" s="64"/>
      <c r="T29" s="64"/>
      <c r="U29" s="49"/>
      <c r="V29" s="64"/>
      <c r="W29" s="64"/>
      <c r="X29" s="64"/>
      <c r="Y29" s="64"/>
      <c r="Z29" s="9"/>
      <c r="AA29" s="64"/>
      <c r="AB29" s="64"/>
      <c r="AC29" s="64"/>
      <c r="AD29" s="9"/>
      <c r="AE29" s="64"/>
      <c r="AF29" s="64"/>
      <c r="AG29" s="49"/>
      <c r="AH29" s="64"/>
      <c r="AI29" s="64"/>
      <c r="AJ29" s="64"/>
      <c r="AK29" s="64"/>
      <c r="AL29" s="9"/>
      <c r="AM29" s="64"/>
      <c r="AN29" s="64"/>
      <c r="AO29" s="49"/>
      <c r="AP29" s="36"/>
      <c r="AQ29" s="36"/>
      <c r="AR29" s="36"/>
      <c r="AS29" s="36"/>
      <c r="AT29" s="65"/>
      <c r="AU29" s="33"/>
      <c r="AV29" s="1"/>
      <c r="AW29" s="1"/>
    </row>
    <row r="30" spans="1:49" x14ac:dyDescent="0.3">
      <c r="A30" s="4"/>
      <c r="B30" s="38"/>
      <c r="C30" s="66"/>
      <c r="D30" s="66"/>
      <c r="E30" s="67"/>
      <c r="F30" s="66"/>
      <c r="G30" s="66"/>
      <c r="H30" s="66"/>
      <c r="I30" s="66"/>
      <c r="J30" s="38"/>
      <c r="K30" s="66"/>
      <c r="L30" s="66"/>
      <c r="M30" s="67"/>
      <c r="N30" s="66"/>
      <c r="O30" s="66"/>
      <c r="P30" s="66"/>
      <c r="Q30" s="66"/>
      <c r="R30" s="38"/>
      <c r="S30" s="66"/>
      <c r="T30" s="66"/>
      <c r="U30" s="67"/>
      <c r="V30" s="66"/>
      <c r="W30" s="66"/>
      <c r="X30" s="66"/>
      <c r="Y30" s="66"/>
      <c r="Z30" s="38"/>
      <c r="AA30" s="66"/>
      <c r="AB30" s="66"/>
      <c r="AC30" s="66"/>
      <c r="AD30" s="38"/>
      <c r="AE30" s="66"/>
      <c r="AF30" s="66"/>
      <c r="AG30" s="67"/>
      <c r="AH30" s="66"/>
      <c r="AI30" s="66"/>
      <c r="AJ30" s="66"/>
      <c r="AK30" s="66"/>
      <c r="AL30" s="38"/>
      <c r="AM30" s="66"/>
      <c r="AN30" s="66"/>
      <c r="AO30" s="67"/>
      <c r="AP30" s="62"/>
      <c r="AQ30" s="62"/>
      <c r="AR30" s="62"/>
      <c r="AS30" s="62"/>
      <c r="AT30" s="31"/>
      <c r="AU30" s="32"/>
      <c r="AV30" s="63"/>
      <c r="AW30" s="63"/>
    </row>
    <row r="31" spans="1:49" x14ac:dyDescent="0.3">
      <c r="A31" s="3"/>
      <c r="B31" s="9"/>
      <c r="C31" s="64"/>
      <c r="D31" s="64"/>
      <c r="E31" s="49"/>
      <c r="F31" s="64"/>
      <c r="G31" s="64"/>
      <c r="H31" s="64"/>
      <c r="I31" s="64"/>
      <c r="J31" s="9"/>
      <c r="K31" s="64"/>
      <c r="L31" s="64"/>
      <c r="M31" s="49"/>
      <c r="N31" s="64"/>
      <c r="O31" s="64"/>
      <c r="P31" s="64"/>
      <c r="Q31" s="64"/>
      <c r="R31" s="9"/>
      <c r="S31" s="64"/>
      <c r="T31" s="64"/>
      <c r="U31" s="49"/>
      <c r="V31" s="64"/>
      <c r="W31" s="64"/>
      <c r="X31" s="64"/>
      <c r="Y31" s="64"/>
      <c r="Z31" s="9"/>
      <c r="AA31" s="64"/>
      <c r="AB31" s="64"/>
      <c r="AC31" s="64"/>
      <c r="AD31" s="9"/>
      <c r="AE31" s="64"/>
      <c r="AF31" s="64"/>
      <c r="AG31" s="49"/>
      <c r="AH31" s="64"/>
      <c r="AI31" s="64"/>
      <c r="AJ31" s="64"/>
      <c r="AK31" s="64"/>
      <c r="AL31" s="9"/>
      <c r="AM31" s="64"/>
      <c r="AN31" s="64"/>
      <c r="AO31" s="49"/>
      <c r="AP31" s="36"/>
      <c r="AQ31" s="36"/>
      <c r="AR31" s="36"/>
      <c r="AS31" s="36"/>
      <c r="AT31" s="65"/>
      <c r="AU31" s="33"/>
      <c r="AV31" s="1"/>
      <c r="AW31" s="1"/>
    </row>
    <row r="32" spans="1:49" x14ac:dyDescent="0.3">
      <c r="A32" s="4"/>
      <c r="B32" s="38"/>
      <c r="C32" s="66"/>
      <c r="D32" s="66"/>
      <c r="E32" s="67"/>
      <c r="F32" s="66"/>
      <c r="G32" s="66"/>
      <c r="H32" s="66"/>
      <c r="I32" s="66"/>
      <c r="J32" s="38"/>
      <c r="K32" s="66"/>
      <c r="L32" s="66"/>
      <c r="M32" s="67"/>
      <c r="N32" s="66"/>
      <c r="O32" s="66"/>
      <c r="P32" s="66"/>
      <c r="Q32" s="66"/>
      <c r="R32" s="38"/>
      <c r="S32" s="66"/>
      <c r="T32" s="66"/>
      <c r="U32" s="67"/>
      <c r="V32" s="66"/>
      <c r="W32" s="66"/>
      <c r="X32" s="66"/>
      <c r="Y32" s="66"/>
      <c r="Z32" s="38"/>
      <c r="AA32" s="66"/>
      <c r="AB32" s="66"/>
      <c r="AC32" s="66"/>
      <c r="AD32" s="38"/>
      <c r="AE32" s="66"/>
      <c r="AF32" s="66"/>
      <c r="AG32" s="67"/>
      <c r="AH32" s="66"/>
      <c r="AI32" s="66"/>
      <c r="AJ32" s="66"/>
      <c r="AK32" s="66"/>
      <c r="AL32" s="38"/>
      <c r="AM32" s="66"/>
      <c r="AN32" s="66"/>
      <c r="AO32" s="67"/>
      <c r="AP32" s="62"/>
      <c r="AQ32" s="62"/>
      <c r="AR32" s="62"/>
      <c r="AS32" s="62"/>
      <c r="AT32" s="31"/>
      <c r="AU32" s="32"/>
      <c r="AV32" s="63"/>
      <c r="AW32" s="63"/>
    </row>
    <row r="33" spans="1:49" x14ac:dyDescent="0.3">
      <c r="A33" s="3"/>
      <c r="B33" s="9"/>
      <c r="C33" s="64"/>
      <c r="D33" s="64"/>
      <c r="E33" s="49"/>
      <c r="F33" s="64"/>
      <c r="G33" s="64"/>
      <c r="H33" s="64"/>
      <c r="I33" s="64"/>
      <c r="J33" s="9"/>
      <c r="K33" s="64"/>
      <c r="L33" s="64"/>
      <c r="M33" s="49"/>
      <c r="N33" s="64"/>
      <c r="O33" s="64"/>
      <c r="P33" s="64"/>
      <c r="Q33" s="64"/>
      <c r="R33" s="9"/>
      <c r="S33" s="64"/>
      <c r="T33" s="64"/>
      <c r="U33" s="49"/>
      <c r="V33" s="64"/>
      <c r="W33" s="64"/>
      <c r="X33" s="64"/>
      <c r="Y33" s="64"/>
      <c r="Z33" s="9"/>
      <c r="AA33" s="64"/>
      <c r="AB33" s="64"/>
      <c r="AC33" s="64"/>
      <c r="AD33" s="9"/>
      <c r="AE33" s="64"/>
      <c r="AF33" s="64"/>
      <c r="AG33" s="49"/>
      <c r="AH33" s="64"/>
      <c r="AI33" s="64"/>
      <c r="AJ33" s="64"/>
      <c r="AK33" s="64"/>
      <c r="AL33" s="9"/>
      <c r="AM33" s="64"/>
      <c r="AN33" s="64"/>
      <c r="AO33" s="49"/>
      <c r="AP33" s="36"/>
      <c r="AQ33" s="36"/>
      <c r="AR33" s="36"/>
      <c r="AS33" s="36"/>
      <c r="AT33" s="65"/>
      <c r="AU33" s="33"/>
      <c r="AV33" s="1"/>
      <c r="AW33" s="1"/>
    </row>
    <row r="34" spans="1:49" x14ac:dyDescent="0.3">
      <c r="A34" s="4"/>
      <c r="B34" s="38"/>
      <c r="C34" s="66"/>
      <c r="D34" s="66"/>
      <c r="E34" s="67"/>
      <c r="F34" s="66"/>
      <c r="G34" s="66"/>
      <c r="H34" s="66"/>
      <c r="I34" s="66"/>
      <c r="J34" s="38"/>
      <c r="K34" s="66"/>
      <c r="L34" s="66"/>
      <c r="M34" s="67"/>
      <c r="N34" s="66"/>
      <c r="O34" s="66"/>
      <c r="P34" s="66"/>
      <c r="Q34" s="66"/>
      <c r="R34" s="38"/>
      <c r="S34" s="66"/>
      <c r="T34" s="66"/>
      <c r="U34" s="67"/>
      <c r="V34" s="66"/>
      <c r="W34" s="66"/>
      <c r="X34" s="66"/>
      <c r="Y34" s="66"/>
      <c r="Z34" s="38"/>
      <c r="AA34" s="66"/>
      <c r="AB34" s="66"/>
      <c r="AC34" s="66"/>
      <c r="AD34" s="38"/>
      <c r="AE34" s="66"/>
      <c r="AF34" s="66"/>
      <c r="AG34" s="67"/>
      <c r="AH34" s="66"/>
      <c r="AI34" s="66"/>
      <c r="AJ34" s="66"/>
      <c r="AK34" s="66"/>
      <c r="AL34" s="38"/>
      <c r="AM34" s="66"/>
      <c r="AN34" s="66"/>
      <c r="AO34" s="67"/>
      <c r="AP34" s="62"/>
      <c r="AQ34" s="62"/>
      <c r="AR34" s="62"/>
      <c r="AS34" s="62"/>
      <c r="AT34" s="31"/>
      <c r="AU34" s="32"/>
      <c r="AV34" s="63"/>
      <c r="AW34" s="63"/>
    </row>
    <row r="35" spans="1:49" x14ac:dyDescent="0.3">
      <c r="A35" s="3"/>
      <c r="B35" s="9"/>
      <c r="C35" s="64"/>
      <c r="D35" s="64"/>
      <c r="E35" s="49"/>
      <c r="F35" s="64"/>
      <c r="G35" s="64"/>
      <c r="H35" s="64"/>
      <c r="I35" s="64"/>
      <c r="J35" s="9"/>
      <c r="K35" s="64"/>
      <c r="L35" s="64"/>
      <c r="M35" s="49"/>
      <c r="N35" s="64"/>
      <c r="O35" s="64"/>
      <c r="P35" s="64"/>
      <c r="Q35" s="64"/>
      <c r="R35" s="9"/>
      <c r="S35" s="64"/>
      <c r="T35" s="64"/>
      <c r="U35" s="49"/>
      <c r="V35" s="64"/>
      <c r="W35" s="64"/>
      <c r="X35" s="64"/>
      <c r="Y35" s="64"/>
      <c r="Z35" s="9"/>
      <c r="AA35" s="64"/>
      <c r="AB35" s="64"/>
      <c r="AC35" s="64"/>
      <c r="AD35" s="9"/>
      <c r="AE35" s="64"/>
      <c r="AF35" s="64"/>
      <c r="AG35" s="49"/>
      <c r="AH35" s="64"/>
      <c r="AI35" s="64"/>
      <c r="AJ35" s="64"/>
      <c r="AK35" s="64"/>
      <c r="AL35" s="9"/>
      <c r="AM35" s="64"/>
      <c r="AN35" s="64"/>
      <c r="AO35" s="49"/>
      <c r="AP35" s="36"/>
      <c r="AQ35" s="36"/>
      <c r="AR35" s="36"/>
      <c r="AS35" s="36"/>
      <c r="AT35" s="65"/>
      <c r="AU35" s="33"/>
      <c r="AV35" s="1"/>
      <c r="AW35" s="1"/>
    </row>
    <row r="36" spans="1:49" x14ac:dyDescent="0.3">
      <c r="A36" s="4"/>
      <c r="B36" s="38"/>
      <c r="C36" s="66"/>
      <c r="D36" s="66"/>
      <c r="E36" s="67"/>
      <c r="F36" s="66"/>
      <c r="G36" s="66"/>
      <c r="H36" s="66"/>
      <c r="I36" s="66"/>
      <c r="J36" s="38"/>
      <c r="K36" s="66"/>
      <c r="L36" s="66"/>
      <c r="M36" s="67"/>
      <c r="N36" s="66"/>
      <c r="O36" s="66"/>
      <c r="P36" s="66"/>
      <c r="Q36" s="66"/>
      <c r="R36" s="38"/>
      <c r="S36" s="66"/>
      <c r="T36" s="66"/>
      <c r="U36" s="67"/>
      <c r="V36" s="66"/>
      <c r="W36" s="66"/>
      <c r="X36" s="66"/>
      <c r="Y36" s="66"/>
      <c r="Z36" s="38"/>
      <c r="AA36" s="66"/>
      <c r="AB36" s="66"/>
      <c r="AC36" s="66"/>
      <c r="AD36" s="38"/>
      <c r="AE36" s="66"/>
      <c r="AF36" s="66"/>
      <c r="AG36" s="67"/>
      <c r="AH36" s="66"/>
      <c r="AI36" s="66"/>
      <c r="AJ36" s="66"/>
      <c r="AK36" s="66"/>
      <c r="AL36" s="38"/>
      <c r="AM36" s="66"/>
      <c r="AN36" s="66"/>
      <c r="AO36" s="67"/>
      <c r="AP36" s="62"/>
      <c r="AQ36" s="62"/>
      <c r="AR36" s="62"/>
      <c r="AS36" s="62"/>
      <c r="AT36" s="31"/>
      <c r="AU36" s="32"/>
      <c r="AV36" s="63"/>
      <c r="AW36" s="63"/>
    </row>
    <row r="37" spans="1:49" x14ac:dyDescent="0.3">
      <c r="A37" s="3"/>
      <c r="B37" s="9"/>
      <c r="C37" s="64"/>
      <c r="D37" s="64"/>
      <c r="E37" s="49"/>
      <c r="F37" s="64"/>
      <c r="G37" s="64"/>
      <c r="H37" s="64"/>
      <c r="I37" s="64"/>
      <c r="J37" s="9"/>
      <c r="K37" s="64"/>
      <c r="L37" s="64"/>
      <c r="M37" s="49"/>
      <c r="N37" s="64"/>
      <c r="O37" s="64"/>
      <c r="P37" s="64"/>
      <c r="Q37" s="64"/>
      <c r="R37" s="9"/>
      <c r="S37" s="64"/>
      <c r="T37" s="64"/>
      <c r="U37" s="49"/>
      <c r="V37" s="64"/>
      <c r="W37" s="64"/>
      <c r="X37" s="64"/>
      <c r="Y37" s="64"/>
      <c r="Z37" s="9"/>
      <c r="AA37" s="64"/>
      <c r="AB37" s="64"/>
      <c r="AC37" s="64"/>
      <c r="AD37" s="9"/>
      <c r="AE37" s="64"/>
      <c r="AF37" s="64"/>
      <c r="AG37" s="49"/>
      <c r="AH37" s="64"/>
      <c r="AI37" s="64"/>
      <c r="AJ37" s="64"/>
      <c r="AK37" s="64"/>
      <c r="AL37" s="9"/>
      <c r="AM37" s="64"/>
      <c r="AN37" s="64"/>
      <c r="AO37" s="49"/>
      <c r="AP37" s="36"/>
      <c r="AQ37" s="36"/>
      <c r="AR37" s="36"/>
      <c r="AS37" s="36"/>
      <c r="AT37" s="65"/>
      <c r="AU37" s="33"/>
      <c r="AV37" s="1"/>
      <c r="AW37" s="1"/>
    </row>
    <row r="38" spans="1:49" x14ac:dyDescent="0.3">
      <c r="A38" s="4"/>
      <c r="B38" s="38"/>
      <c r="C38" s="66"/>
      <c r="D38" s="66"/>
      <c r="E38" s="67"/>
      <c r="F38" s="66"/>
      <c r="G38" s="66"/>
      <c r="H38" s="66"/>
      <c r="I38" s="66"/>
      <c r="J38" s="38"/>
      <c r="K38" s="66"/>
      <c r="L38" s="66"/>
      <c r="M38" s="67"/>
      <c r="N38" s="66"/>
      <c r="O38" s="66"/>
      <c r="P38" s="66"/>
      <c r="Q38" s="66"/>
      <c r="R38" s="38"/>
      <c r="S38" s="66"/>
      <c r="T38" s="66"/>
      <c r="U38" s="67"/>
      <c r="V38" s="66"/>
      <c r="W38" s="66"/>
      <c r="X38" s="66"/>
      <c r="Y38" s="66"/>
      <c r="Z38" s="38"/>
      <c r="AA38" s="66"/>
      <c r="AB38" s="66"/>
      <c r="AC38" s="66"/>
      <c r="AD38" s="38"/>
      <c r="AE38" s="66"/>
      <c r="AF38" s="66"/>
      <c r="AG38" s="67"/>
      <c r="AH38" s="66"/>
      <c r="AI38" s="66"/>
      <c r="AJ38" s="66"/>
      <c r="AK38" s="66"/>
      <c r="AL38" s="38"/>
      <c r="AM38" s="66"/>
      <c r="AN38" s="66"/>
      <c r="AO38" s="67"/>
      <c r="AP38" s="62"/>
      <c r="AQ38" s="62"/>
      <c r="AR38" s="62"/>
      <c r="AS38" s="62"/>
      <c r="AT38" s="31"/>
      <c r="AU38" s="32"/>
      <c r="AV38" s="63"/>
      <c r="AW38" s="63"/>
    </row>
    <row r="39" spans="1:49" x14ac:dyDescent="0.3">
      <c r="A39" s="3"/>
      <c r="B39" s="9"/>
      <c r="C39" s="64"/>
      <c r="D39" s="64"/>
      <c r="E39" s="49"/>
      <c r="F39" s="64"/>
      <c r="G39" s="64"/>
      <c r="H39" s="64"/>
      <c r="I39" s="64"/>
      <c r="J39" s="9"/>
      <c r="K39" s="64"/>
      <c r="L39" s="64"/>
      <c r="M39" s="49"/>
      <c r="N39" s="64"/>
      <c r="O39" s="64"/>
      <c r="P39" s="64"/>
      <c r="Q39" s="64"/>
      <c r="R39" s="9"/>
      <c r="S39" s="64"/>
      <c r="T39" s="64"/>
      <c r="U39" s="49"/>
      <c r="V39" s="64"/>
      <c r="W39" s="64"/>
      <c r="X39" s="64"/>
      <c r="Y39" s="64"/>
      <c r="Z39" s="9"/>
      <c r="AA39" s="64"/>
      <c r="AB39" s="64"/>
      <c r="AC39" s="64"/>
      <c r="AD39" s="9"/>
      <c r="AE39" s="64"/>
      <c r="AF39" s="64"/>
      <c r="AG39" s="49"/>
      <c r="AH39" s="64"/>
      <c r="AI39" s="64"/>
      <c r="AJ39" s="64"/>
      <c r="AK39" s="64"/>
      <c r="AL39" s="9"/>
      <c r="AM39" s="64"/>
      <c r="AN39" s="64"/>
      <c r="AO39" s="49"/>
      <c r="AP39" s="36"/>
      <c r="AQ39" s="36"/>
      <c r="AR39" s="36"/>
      <c r="AS39" s="36"/>
      <c r="AT39" s="65"/>
      <c r="AU39" s="33"/>
      <c r="AV39" s="1"/>
      <c r="AW39" s="1"/>
    </row>
    <row r="40" spans="1:49" x14ac:dyDescent="0.3">
      <c r="A40" s="4"/>
      <c r="B40" s="38"/>
      <c r="C40" s="66"/>
      <c r="D40" s="66"/>
      <c r="E40" s="67"/>
      <c r="F40" s="66"/>
      <c r="G40" s="66"/>
      <c r="H40" s="66"/>
      <c r="I40" s="66"/>
      <c r="J40" s="38"/>
      <c r="K40" s="66"/>
      <c r="L40" s="66"/>
      <c r="M40" s="67"/>
      <c r="N40" s="66"/>
      <c r="O40" s="66"/>
      <c r="P40" s="66"/>
      <c r="Q40" s="66"/>
      <c r="R40" s="38"/>
      <c r="S40" s="66"/>
      <c r="T40" s="66"/>
      <c r="U40" s="67"/>
      <c r="V40" s="66"/>
      <c r="W40" s="66"/>
      <c r="X40" s="66"/>
      <c r="Y40" s="66"/>
      <c r="Z40" s="38"/>
      <c r="AA40" s="66"/>
      <c r="AB40" s="66"/>
      <c r="AC40" s="66"/>
      <c r="AD40" s="38"/>
      <c r="AE40" s="66"/>
      <c r="AF40" s="66"/>
      <c r="AG40" s="67"/>
      <c r="AH40" s="66"/>
      <c r="AI40" s="66"/>
      <c r="AJ40" s="66"/>
      <c r="AK40" s="66"/>
      <c r="AL40" s="38"/>
      <c r="AM40" s="66"/>
      <c r="AN40" s="66"/>
      <c r="AO40" s="67"/>
      <c r="AP40" s="62"/>
      <c r="AQ40" s="62"/>
      <c r="AR40" s="62"/>
      <c r="AS40" s="62"/>
      <c r="AT40" s="31"/>
      <c r="AU40" s="32"/>
      <c r="AV40" s="63"/>
      <c r="AW40" s="63"/>
    </row>
    <row r="41" spans="1:49" x14ac:dyDescent="0.3">
      <c r="A41" s="3"/>
      <c r="B41" s="9"/>
      <c r="C41" s="64"/>
      <c r="D41" s="64"/>
      <c r="E41" s="49"/>
      <c r="F41" s="64"/>
      <c r="G41" s="64"/>
      <c r="H41" s="64"/>
      <c r="I41" s="64"/>
      <c r="J41" s="9"/>
      <c r="K41" s="64"/>
      <c r="L41" s="64"/>
      <c r="M41" s="49"/>
      <c r="N41" s="64"/>
      <c r="O41" s="64"/>
      <c r="P41" s="64"/>
      <c r="Q41" s="64"/>
      <c r="R41" s="9"/>
      <c r="S41" s="64"/>
      <c r="T41" s="64"/>
      <c r="U41" s="49"/>
      <c r="V41" s="64"/>
      <c r="W41" s="64"/>
      <c r="X41" s="64"/>
      <c r="Y41" s="64"/>
      <c r="Z41" s="9"/>
      <c r="AA41" s="64"/>
      <c r="AB41" s="64"/>
      <c r="AC41" s="64"/>
      <c r="AD41" s="9"/>
      <c r="AE41" s="64"/>
      <c r="AF41" s="64"/>
      <c r="AG41" s="49"/>
      <c r="AH41" s="64"/>
      <c r="AI41" s="64"/>
      <c r="AJ41" s="64"/>
      <c r="AK41" s="64"/>
      <c r="AL41" s="9"/>
      <c r="AM41" s="64"/>
      <c r="AN41" s="64"/>
      <c r="AO41" s="49"/>
      <c r="AP41" s="36"/>
      <c r="AQ41" s="36"/>
      <c r="AR41" s="36"/>
      <c r="AS41" s="36"/>
      <c r="AT41" s="65"/>
      <c r="AU41" s="33"/>
      <c r="AV41" s="1"/>
      <c r="AW41" s="1"/>
    </row>
    <row r="42" spans="1:49" x14ac:dyDescent="0.3">
      <c r="A42" s="4"/>
      <c r="B42" s="38"/>
      <c r="C42" s="66"/>
      <c r="D42" s="66"/>
      <c r="E42" s="67"/>
      <c r="F42" s="66"/>
      <c r="G42" s="66"/>
      <c r="H42" s="66"/>
      <c r="I42" s="66"/>
      <c r="J42" s="38"/>
      <c r="K42" s="66"/>
      <c r="L42" s="66"/>
      <c r="M42" s="67"/>
      <c r="N42" s="66"/>
      <c r="O42" s="66"/>
      <c r="P42" s="66"/>
      <c r="Q42" s="66"/>
      <c r="R42" s="38"/>
      <c r="S42" s="66"/>
      <c r="T42" s="66"/>
      <c r="U42" s="67"/>
      <c r="V42" s="66"/>
      <c r="W42" s="66"/>
      <c r="X42" s="66"/>
      <c r="Y42" s="66"/>
      <c r="Z42" s="38"/>
      <c r="AA42" s="66"/>
      <c r="AB42" s="66"/>
      <c r="AC42" s="66"/>
      <c r="AD42" s="38"/>
      <c r="AE42" s="66"/>
      <c r="AF42" s="66"/>
      <c r="AG42" s="67"/>
      <c r="AH42" s="66"/>
      <c r="AI42" s="66"/>
      <c r="AJ42" s="66"/>
      <c r="AK42" s="66"/>
      <c r="AL42" s="38"/>
      <c r="AM42" s="66"/>
      <c r="AN42" s="66"/>
      <c r="AO42" s="67"/>
      <c r="AP42" s="62"/>
      <c r="AQ42" s="62"/>
      <c r="AR42" s="62"/>
      <c r="AS42" s="62"/>
      <c r="AT42" s="31"/>
      <c r="AU42" s="32"/>
      <c r="AV42" s="63"/>
      <c r="AW42" s="63"/>
    </row>
    <row r="43" spans="1:49" x14ac:dyDescent="0.3">
      <c r="A43" s="37"/>
      <c r="B43" s="68"/>
      <c r="C43" s="36"/>
      <c r="D43" s="36"/>
      <c r="E43" s="69"/>
      <c r="F43" s="36"/>
      <c r="G43" s="36"/>
      <c r="H43" s="36"/>
      <c r="I43" s="36"/>
      <c r="J43" s="68"/>
      <c r="K43" s="36"/>
      <c r="L43" s="36"/>
      <c r="M43" s="69"/>
      <c r="N43" s="36"/>
      <c r="O43" s="36"/>
      <c r="P43" s="36"/>
      <c r="Q43" s="36"/>
      <c r="R43" s="68"/>
      <c r="S43" s="36"/>
      <c r="T43" s="36"/>
      <c r="U43" s="69"/>
      <c r="V43" s="36"/>
      <c r="W43" s="36"/>
      <c r="X43" s="36"/>
      <c r="Y43" s="36"/>
      <c r="Z43" s="68"/>
      <c r="AA43" s="36"/>
      <c r="AB43" s="36"/>
      <c r="AC43" s="36"/>
      <c r="AD43" s="68"/>
      <c r="AE43" s="36"/>
      <c r="AF43" s="36"/>
      <c r="AG43" s="69"/>
      <c r="AH43" s="36"/>
      <c r="AI43" s="36"/>
      <c r="AJ43" s="36"/>
      <c r="AK43" s="36"/>
      <c r="AL43" s="9"/>
      <c r="AM43" s="64"/>
      <c r="AN43" s="64"/>
      <c r="AO43" s="49"/>
      <c r="AP43" s="36"/>
      <c r="AQ43" s="36"/>
      <c r="AR43" s="36"/>
      <c r="AS43" s="36"/>
      <c r="AT43" s="65"/>
      <c r="AU43" s="33"/>
      <c r="AV43" s="1"/>
      <c r="AW43" s="1"/>
    </row>
    <row r="44" spans="1:49" x14ac:dyDescent="0.3">
      <c r="A44" s="38"/>
      <c r="B44" s="38"/>
      <c r="C44" s="66"/>
      <c r="D44" s="66"/>
      <c r="E44" s="66"/>
      <c r="F44" s="38"/>
      <c r="G44" s="66"/>
      <c r="H44" s="66"/>
      <c r="I44" s="67"/>
      <c r="J44" s="66"/>
      <c r="K44" s="66"/>
      <c r="L44" s="66"/>
      <c r="M44" s="66"/>
      <c r="N44" s="38"/>
      <c r="O44" s="66"/>
      <c r="P44" s="66"/>
      <c r="Q44" s="67"/>
      <c r="R44" s="66"/>
      <c r="S44" s="66"/>
      <c r="T44" s="66"/>
      <c r="U44" s="67"/>
      <c r="V44" s="38"/>
      <c r="W44" s="66"/>
      <c r="X44" s="66"/>
      <c r="Y44" s="66"/>
      <c r="Z44" s="38"/>
      <c r="AA44" s="66"/>
      <c r="AB44" s="66"/>
      <c r="AC44" s="66"/>
      <c r="AD44" s="38"/>
      <c r="AE44" s="66"/>
      <c r="AF44" s="66"/>
      <c r="AG44" s="67"/>
      <c r="AH44" s="66"/>
      <c r="AI44" s="66"/>
      <c r="AJ44" s="66"/>
      <c r="AK44" s="66"/>
      <c r="AL44" s="38"/>
      <c r="AM44" s="66"/>
      <c r="AN44" s="66"/>
      <c r="AO44" s="67"/>
      <c r="AP44" s="62"/>
      <c r="AQ44" s="62"/>
      <c r="AR44" s="62"/>
      <c r="AS44" s="62"/>
      <c r="AT44" s="31"/>
      <c r="AU44" s="32"/>
      <c r="AV44" s="63"/>
      <c r="AW44" s="63"/>
    </row>
    <row r="45" spans="1:49" x14ac:dyDescent="0.3">
      <c r="A45" s="9"/>
      <c r="B45" s="9"/>
      <c r="C45" s="64"/>
      <c r="D45" s="64"/>
      <c r="E45" s="64"/>
      <c r="F45" s="9"/>
      <c r="G45" s="64"/>
      <c r="H45" s="64"/>
      <c r="I45" s="49"/>
      <c r="J45" s="64"/>
      <c r="K45" s="64"/>
      <c r="L45" s="64"/>
      <c r="M45" s="64"/>
      <c r="N45" s="9"/>
      <c r="O45" s="64"/>
      <c r="P45" s="64"/>
      <c r="Q45" s="49"/>
      <c r="R45" s="64"/>
      <c r="S45" s="64"/>
      <c r="T45" s="64"/>
      <c r="U45" s="49"/>
      <c r="V45" s="9"/>
      <c r="W45" s="64"/>
      <c r="X45" s="64"/>
      <c r="Y45" s="64"/>
      <c r="Z45" s="9"/>
      <c r="AA45" s="64"/>
      <c r="AB45" s="64"/>
      <c r="AC45" s="64"/>
      <c r="AD45" s="9"/>
      <c r="AE45" s="64"/>
      <c r="AF45" s="64"/>
      <c r="AG45" s="49"/>
      <c r="AH45" s="64"/>
      <c r="AI45" s="64"/>
      <c r="AJ45" s="64"/>
      <c r="AK45" s="64"/>
      <c r="AL45" s="9"/>
      <c r="AM45" s="64"/>
      <c r="AN45" s="64"/>
      <c r="AO45" s="49"/>
      <c r="AP45" s="36"/>
      <c r="AQ45" s="36"/>
      <c r="AR45" s="36"/>
      <c r="AS45" s="36"/>
      <c r="AT45" s="65"/>
      <c r="AU45" s="33"/>
      <c r="AV45" s="1"/>
      <c r="AW45" s="1"/>
    </row>
    <row r="46" spans="1:49" x14ac:dyDescent="0.3">
      <c r="A46" s="38"/>
      <c r="B46" s="38"/>
      <c r="C46" s="66"/>
      <c r="D46" s="66"/>
      <c r="E46" s="66"/>
      <c r="F46" s="38"/>
      <c r="G46" s="66"/>
      <c r="H46" s="66"/>
      <c r="I46" s="67"/>
      <c r="J46" s="66"/>
      <c r="K46" s="66"/>
      <c r="L46" s="66"/>
      <c r="M46" s="66"/>
      <c r="N46" s="38"/>
      <c r="O46" s="66"/>
      <c r="P46" s="66"/>
      <c r="Q46" s="67"/>
      <c r="R46" s="66"/>
      <c r="S46" s="66"/>
      <c r="T46" s="66"/>
      <c r="U46" s="67"/>
      <c r="V46" s="38"/>
      <c r="W46" s="66"/>
      <c r="X46" s="66"/>
      <c r="Y46" s="66"/>
      <c r="Z46" s="38"/>
      <c r="AA46" s="66"/>
      <c r="AB46" s="66"/>
      <c r="AC46" s="66"/>
      <c r="AD46" s="38"/>
      <c r="AE46" s="66"/>
      <c r="AF46" s="66"/>
      <c r="AG46" s="67"/>
      <c r="AH46" s="66"/>
      <c r="AI46" s="66"/>
      <c r="AJ46" s="66"/>
      <c r="AK46" s="66"/>
      <c r="AL46" s="38"/>
      <c r="AM46" s="66"/>
      <c r="AN46" s="66"/>
      <c r="AO46" s="67"/>
      <c r="AP46" s="62"/>
      <c r="AQ46" s="62"/>
      <c r="AR46" s="62"/>
      <c r="AS46" s="62"/>
      <c r="AT46" s="31"/>
      <c r="AU46" s="32"/>
      <c r="AV46" s="63"/>
      <c r="AW46" s="63"/>
    </row>
    <row r="47" spans="1:49" x14ac:dyDescent="0.3">
      <c r="A47" s="9"/>
      <c r="B47" s="9"/>
      <c r="C47" s="64"/>
      <c r="D47" s="64"/>
      <c r="E47" s="64"/>
      <c r="F47" s="9"/>
      <c r="G47" s="64"/>
      <c r="H47" s="64"/>
      <c r="I47" s="49"/>
      <c r="J47" s="64"/>
      <c r="K47" s="64"/>
      <c r="L47" s="64"/>
      <c r="M47" s="64"/>
      <c r="N47" s="9"/>
      <c r="O47" s="64"/>
      <c r="P47" s="64"/>
      <c r="Q47" s="49"/>
      <c r="R47" s="64"/>
      <c r="S47" s="64"/>
      <c r="T47" s="64"/>
      <c r="U47" s="49"/>
      <c r="V47" s="9"/>
      <c r="W47" s="64"/>
      <c r="X47" s="64"/>
      <c r="Y47" s="64"/>
      <c r="Z47" s="9"/>
      <c r="AA47" s="64"/>
      <c r="AB47" s="64"/>
      <c r="AC47" s="64"/>
      <c r="AD47" s="9"/>
      <c r="AE47" s="64"/>
      <c r="AF47" s="64"/>
      <c r="AG47" s="49"/>
      <c r="AH47" s="64"/>
      <c r="AI47" s="64"/>
      <c r="AJ47" s="64"/>
      <c r="AK47" s="64"/>
      <c r="AL47" s="9"/>
      <c r="AM47" s="64"/>
      <c r="AN47" s="64"/>
      <c r="AO47" s="49"/>
      <c r="AP47" s="36"/>
      <c r="AQ47" s="36"/>
      <c r="AR47" s="36"/>
      <c r="AS47" s="36"/>
      <c r="AT47" s="65"/>
      <c r="AU47" s="33"/>
      <c r="AV47" s="1"/>
      <c r="AW47" s="1"/>
    </row>
    <row r="48" spans="1:49" x14ac:dyDescent="0.3">
      <c r="A48" s="38"/>
      <c r="B48" s="38"/>
      <c r="C48" s="66"/>
      <c r="D48" s="66"/>
      <c r="E48" s="66"/>
      <c r="F48" s="38"/>
      <c r="G48" s="66"/>
      <c r="H48" s="66"/>
      <c r="I48" s="67"/>
      <c r="J48" s="66"/>
      <c r="K48" s="66"/>
      <c r="L48" s="66"/>
      <c r="M48" s="66"/>
      <c r="N48" s="38"/>
      <c r="O48" s="66"/>
      <c r="P48" s="66"/>
      <c r="Q48" s="67"/>
      <c r="R48" s="66"/>
      <c r="S48" s="66"/>
      <c r="T48" s="66"/>
      <c r="U48" s="67"/>
      <c r="V48" s="38"/>
      <c r="W48" s="66"/>
      <c r="X48" s="66"/>
      <c r="Y48" s="66"/>
      <c r="Z48" s="38"/>
      <c r="AA48" s="66"/>
      <c r="AB48" s="66"/>
      <c r="AC48" s="66"/>
      <c r="AD48" s="38"/>
      <c r="AE48" s="66"/>
      <c r="AF48" s="66"/>
      <c r="AG48" s="67"/>
      <c r="AH48" s="66"/>
      <c r="AI48" s="66"/>
      <c r="AJ48" s="66"/>
      <c r="AK48" s="66"/>
      <c r="AL48" s="38"/>
      <c r="AM48" s="66"/>
      <c r="AN48" s="66"/>
      <c r="AO48" s="67"/>
      <c r="AP48" s="62"/>
      <c r="AQ48" s="62"/>
      <c r="AR48" s="62"/>
      <c r="AS48" s="62"/>
      <c r="AT48" s="31"/>
      <c r="AU48" s="32"/>
      <c r="AV48" s="63"/>
      <c r="AW48" s="63"/>
    </row>
    <row r="49" spans="1:49" x14ac:dyDescent="0.3">
      <c r="A49" s="9"/>
      <c r="B49" s="9"/>
      <c r="C49" s="64"/>
      <c r="D49" s="64"/>
      <c r="E49" s="64"/>
      <c r="F49" s="9"/>
      <c r="G49" s="64"/>
      <c r="H49" s="64"/>
      <c r="I49" s="49"/>
      <c r="J49" s="64"/>
      <c r="K49" s="64"/>
      <c r="L49" s="64"/>
      <c r="M49" s="64"/>
      <c r="N49" s="9"/>
      <c r="O49" s="64"/>
      <c r="P49" s="64"/>
      <c r="Q49" s="49"/>
      <c r="R49" s="64"/>
      <c r="S49" s="64"/>
      <c r="T49" s="64"/>
      <c r="U49" s="49"/>
      <c r="V49" s="9"/>
      <c r="W49" s="64"/>
      <c r="X49" s="64"/>
      <c r="Y49" s="64"/>
      <c r="Z49" s="9"/>
      <c r="AA49" s="64"/>
      <c r="AB49" s="64"/>
      <c r="AC49" s="64"/>
      <c r="AD49" s="9"/>
      <c r="AE49" s="64"/>
      <c r="AF49" s="64"/>
      <c r="AG49" s="49"/>
      <c r="AH49" s="64"/>
      <c r="AI49" s="64"/>
      <c r="AJ49" s="64"/>
      <c r="AK49" s="64"/>
      <c r="AL49" s="9"/>
      <c r="AM49" s="64"/>
      <c r="AN49" s="64"/>
      <c r="AO49" s="49"/>
      <c r="AP49" s="36"/>
      <c r="AQ49" s="36"/>
      <c r="AR49" s="36"/>
      <c r="AS49" s="36"/>
      <c r="AT49" s="65"/>
      <c r="AU49" s="33"/>
      <c r="AV49" s="1"/>
      <c r="AW49" s="1"/>
    </row>
    <row r="50" spans="1:49" ht="21" thickBot="1" x14ac:dyDescent="0.35">
      <c r="A50" s="39"/>
      <c r="B50" s="39"/>
      <c r="C50" s="70"/>
      <c r="D50" s="70"/>
      <c r="E50" s="70"/>
      <c r="F50" s="39"/>
      <c r="G50" s="70"/>
      <c r="H50" s="70"/>
      <c r="I50" s="71"/>
      <c r="J50" s="70"/>
      <c r="K50" s="70"/>
      <c r="L50" s="70"/>
      <c r="M50" s="70"/>
      <c r="N50" s="39"/>
      <c r="O50" s="70"/>
      <c r="P50" s="70"/>
      <c r="Q50" s="71"/>
      <c r="R50" s="70"/>
      <c r="S50" s="70"/>
      <c r="T50" s="70"/>
      <c r="U50" s="71"/>
      <c r="V50" s="39"/>
      <c r="W50" s="70"/>
      <c r="X50" s="70"/>
      <c r="Y50" s="70"/>
      <c r="Z50" s="39"/>
      <c r="AA50" s="70"/>
      <c r="AB50" s="70"/>
      <c r="AC50" s="70"/>
      <c r="AD50" s="39"/>
      <c r="AE50" s="70"/>
      <c r="AF50" s="70"/>
      <c r="AG50" s="71"/>
      <c r="AH50" s="70"/>
      <c r="AI50" s="70"/>
      <c r="AJ50" s="70"/>
      <c r="AK50" s="70"/>
      <c r="AL50" s="39"/>
      <c r="AM50" s="70"/>
      <c r="AN50" s="70"/>
      <c r="AO50" s="71"/>
      <c r="AP50" s="62"/>
      <c r="AQ50" s="62"/>
      <c r="AR50" s="62"/>
      <c r="AS50" s="62"/>
      <c r="AT50" s="31"/>
      <c r="AU50" s="32"/>
      <c r="AV50" s="63"/>
      <c r="AW50" s="63"/>
    </row>
  </sheetData>
  <sheetProtection formatCells="0" formatColumns="0" formatRows="0" insertColumns="0" insertRows="0" insertHyperlinks="0" deleteColumns="0" deleteRows="0" sort="0" autoFilter="0" pivotTables="0"/>
  <dataConsolidate/>
  <mergeCells count="12">
    <mergeCell ref="AL3:AO3"/>
    <mergeCell ref="AP3:AS3"/>
    <mergeCell ref="AP2:AV2"/>
    <mergeCell ref="B3:E3"/>
    <mergeCell ref="F3:I3"/>
    <mergeCell ref="J3:M3"/>
    <mergeCell ref="N3:Q3"/>
    <mergeCell ref="R3:U3"/>
    <mergeCell ref="V3:Y3"/>
    <mergeCell ref="Z3:AC3"/>
    <mergeCell ref="AD3:AG3"/>
    <mergeCell ref="AH3:AK3"/>
  </mergeCells>
  <phoneticPr fontId="3"/>
  <conditionalFormatting sqref="A10:AW50 R4:AW9">
    <cfRule type="expression" dxfId="4" priority="2">
      <formula>CELL("ROW")=ROW()</formula>
    </cfRule>
  </conditionalFormatting>
  <conditionalFormatting sqref="A4:Q9">
    <cfRule type="expression" dxfId="3" priority="1">
      <formula>CELL("ROW")=ROW()</formula>
    </cfRule>
  </conditionalFormatting>
  <dataValidations count="1">
    <dataValidation showInputMessage="1" sqref="B4:U50" xr:uid="{CCFC5681-6FDE-1D45-92B7-C4C1AE5ED817}"/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decision">
                <anchor moveWithCells="1">
                  <from>
                    <xdr:col>11</xdr:col>
                    <xdr:colOff>38100</xdr:colOff>
                    <xdr:row>0</xdr:row>
                    <xdr:rowOff>63500</xdr:rowOff>
                  </from>
                  <to>
                    <xdr:col>13</xdr:col>
                    <xdr:colOff>317500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autoFill="0" autoPict="0" macro="[0]!Confirmation">
                <anchor moveWithCells="1" sizeWithCells="1">
                  <from>
                    <xdr:col>16</xdr:col>
                    <xdr:colOff>342900</xdr:colOff>
                    <xdr:row>0</xdr:row>
                    <xdr:rowOff>101600</xdr:rowOff>
                  </from>
                  <to>
                    <xdr:col>21</xdr:col>
                    <xdr:colOff>241300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D8E6F2A7-BA54-BF47-BD31-B2FCCE1A262B}">
          <x14:formula1>
            <xm:f>データ!$B$3:$B$55</xm:f>
          </x14:formula1>
          <xm:sqref>A4:A50</xm:sqref>
        </x14:dataValidation>
        <x14:dataValidation type="list" showInputMessage="1" xr:uid="{A35947C6-40F8-0546-9B73-6E02F6269124}">
          <x14:formula1>
            <xm:f>データ!$O$3:$O$5</xm:f>
          </x14:formula1>
          <xm:sqref>V4:AO50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8DC5C-A67F-A846-BF56-187E54A56CF9}">
  <sheetPr codeName="Sheet7"/>
  <dimension ref="A2:AW50"/>
  <sheetViews>
    <sheetView showRuler="0" zoomScale="130" zoomScaleNormal="130" zoomScalePageLayoutView="90" workbookViewId="0">
      <pane ySplit="3" topLeftCell="A4" activePane="bottomLeft" state="frozen"/>
      <selection pane="bottomLeft" activeCell="Q4" sqref="Q4"/>
    </sheetView>
  </sheetViews>
  <sheetFormatPr baseColWidth="10" defaultColWidth="12.85546875" defaultRowHeight="20" x14ac:dyDescent="0.3"/>
  <cols>
    <col min="1" max="1" width="14.140625" style="1" customWidth="1"/>
    <col min="2" max="21" width="3.7109375" customWidth="1"/>
    <col min="22" max="41" width="3.7109375" hidden="1" customWidth="1"/>
    <col min="42" max="45" width="3.7109375" style="16" customWidth="1"/>
    <col min="46" max="46" width="8.7109375" style="29" customWidth="1"/>
    <col min="47" max="47" width="8.7109375" style="30" customWidth="1"/>
    <col min="48" max="48" width="8.7109375" style="6" customWidth="1"/>
    <col min="49" max="49" width="11.140625" style="6" customWidth="1"/>
  </cols>
  <sheetData>
    <row r="2" spans="1:49" ht="21" thickBot="1" x14ac:dyDescent="0.35">
      <c r="B2" s="56"/>
      <c r="C2" s="1" t="s">
        <v>45</v>
      </c>
      <c r="D2" s="56"/>
      <c r="E2" s="1" t="s">
        <v>12</v>
      </c>
      <c r="F2" s="56"/>
      <c r="G2" s="1" t="s">
        <v>13</v>
      </c>
      <c r="I2" s="1" t="s">
        <v>14</v>
      </c>
      <c r="J2" s="56"/>
      <c r="AP2" s="135" t="s">
        <v>31</v>
      </c>
      <c r="AQ2" s="135"/>
      <c r="AR2" s="135"/>
      <c r="AS2" s="135"/>
      <c r="AT2" s="135"/>
      <c r="AU2" s="135"/>
      <c r="AV2" s="135"/>
      <c r="AW2" s="113"/>
    </row>
    <row r="3" spans="1:49" ht="21" thickBot="1" x14ac:dyDescent="0.35">
      <c r="A3" s="114" t="s">
        <v>11</v>
      </c>
      <c r="B3" s="136" t="s">
        <v>38</v>
      </c>
      <c r="C3" s="137"/>
      <c r="D3" s="137"/>
      <c r="E3" s="138"/>
      <c r="F3" s="137" t="s">
        <v>0</v>
      </c>
      <c r="G3" s="137"/>
      <c r="H3" s="137"/>
      <c r="I3" s="137"/>
      <c r="J3" s="136" t="s">
        <v>1</v>
      </c>
      <c r="K3" s="137"/>
      <c r="L3" s="137"/>
      <c r="M3" s="138"/>
      <c r="N3" s="137" t="s">
        <v>2</v>
      </c>
      <c r="O3" s="137"/>
      <c r="P3" s="137"/>
      <c r="Q3" s="137"/>
      <c r="R3" s="136" t="s">
        <v>3</v>
      </c>
      <c r="S3" s="137"/>
      <c r="T3" s="137"/>
      <c r="U3" s="138"/>
      <c r="V3" s="136" t="s">
        <v>46</v>
      </c>
      <c r="W3" s="137"/>
      <c r="X3" s="137"/>
      <c r="Y3" s="137"/>
      <c r="Z3" s="136" t="s">
        <v>47</v>
      </c>
      <c r="AA3" s="137"/>
      <c r="AB3" s="137"/>
      <c r="AC3" s="137"/>
      <c r="AD3" s="136" t="s">
        <v>48</v>
      </c>
      <c r="AE3" s="137"/>
      <c r="AF3" s="137"/>
      <c r="AG3" s="138"/>
      <c r="AH3" s="136" t="s">
        <v>49</v>
      </c>
      <c r="AI3" s="137"/>
      <c r="AJ3" s="137"/>
      <c r="AK3" s="138"/>
      <c r="AL3" s="141" t="s">
        <v>50</v>
      </c>
      <c r="AM3" s="142"/>
      <c r="AN3" s="142"/>
      <c r="AO3" s="143"/>
      <c r="AP3" s="139" t="s">
        <v>22</v>
      </c>
      <c r="AQ3" s="140"/>
      <c r="AR3" s="140"/>
      <c r="AS3" s="140"/>
      <c r="AT3" s="29" t="s">
        <v>39</v>
      </c>
      <c r="AU3" s="30" t="s">
        <v>4</v>
      </c>
      <c r="AV3" s="6" t="s">
        <v>40</v>
      </c>
      <c r="AW3" s="6" t="s">
        <v>41</v>
      </c>
    </row>
    <row r="4" spans="1:49" x14ac:dyDescent="0.3">
      <c r="A4" s="5" t="s">
        <v>130</v>
      </c>
      <c r="B4" s="58" t="s">
        <v>57</v>
      </c>
      <c r="C4" s="59" t="s">
        <v>57</v>
      </c>
      <c r="D4" s="59" t="s">
        <v>57</v>
      </c>
      <c r="E4" s="60" t="s">
        <v>133</v>
      </c>
      <c r="F4" s="59" t="s">
        <v>57</v>
      </c>
      <c r="G4" s="61" t="s">
        <v>57</v>
      </c>
      <c r="H4" s="59" t="s">
        <v>57</v>
      </c>
      <c r="I4" s="59" t="s">
        <v>57</v>
      </c>
      <c r="J4" s="58" t="s">
        <v>57</v>
      </c>
      <c r="K4" s="59" t="s">
        <v>57</v>
      </c>
      <c r="L4" s="59" t="s">
        <v>57</v>
      </c>
      <c r="M4" s="60" t="s">
        <v>57</v>
      </c>
      <c r="N4" s="59" t="s">
        <v>57</v>
      </c>
      <c r="O4" s="59" t="s">
        <v>57</v>
      </c>
      <c r="P4" s="59" t="s">
        <v>57</v>
      </c>
      <c r="Q4" s="59" t="s">
        <v>57</v>
      </c>
      <c r="R4" s="58"/>
      <c r="S4" s="59"/>
      <c r="T4" s="59"/>
      <c r="U4" s="60"/>
      <c r="V4" s="59"/>
      <c r="W4" s="59"/>
      <c r="X4" s="59"/>
      <c r="Y4" s="59"/>
      <c r="Z4" s="58"/>
      <c r="AA4" s="59"/>
      <c r="AB4" s="59"/>
      <c r="AC4" s="59"/>
      <c r="AD4" s="58"/>
      <c r="AE4" s="59"/>
      <c r="AF4" s="59"/>
      <c r="AG4" s="60"/>
      <c r="AH4" s="59"/>
      <c r="AI4" s="59"/>
      <c r="AJ4" s="59"/>
      <c r="AK4" s="59"/>
      <c r="AL4" s="58"/>
      <c r="AM4" s="59"/>
      <c r="AN4" s="59"/>
      <c r="AO4" s="60"/>
      <c r="AP4" s="62">
        <v>4</v>
      </c>
      <c r="AQ4" s="62">
        <v>4</v>
      </c>
      <c r="AR4" s="62">
        <v>4</v>
      </c>
      <c r="AS4" s="62">
        <v>3</v>
      </c>
      <c r="AT4" s="31">
        <v>15</v>
      </c>
      <c r="AU4" s="32">
        <v>0.9375</v>
      </c>
      <c r="AV4" s="63">
        <v>4</v>
      </c>
      <c r="AW4" s="63"/>
    </row>
    <row r="5" spans="1:49" x14ac:dyDescent="0.3">
      <c r="A5" s="3" t="s">
        <v>73</v>
      </c>
      <c r="B5" s="9" t="s">
        <v>57</v>
      </c>
      <c r="C5" s="64" t="s">
        <v>57</v>
      </c>
      <c r="D5" s="64" t="s">
        <v>57</v>
      </c>
      <c r="E5" s="49" t="s">
        <v>57</v>
      </c>
      <c r="F5" s="64" t="s">
        <v>57</v>
      </c>
      <c r="G5" s="64" t="s">
        <v>57</v>
      </c>
      <c r="H5" s="64" t="s">
        <v>57</v>
      </c>
      <c r="I5" s="64" t="s">
        <v>133</v>
      </c>
      <c r="J5" s="9" t="s">
        <v>133</v>
      </c>
      <c r="K5" s="64" t="s">
        <v>133</v>
      </c>
      <c r="L5" s="64" t="s">
        <v>133</v>
      </c>
      <c r="M5" s="49" t="s">
        <v>57</v>
      </c>
      <c r="N5" s="64" t="s">
        <v>57</v>
      </c>
      <c r="O5" s="64" t="s">
        <v>57</v>
      </c>
      <c r="P5" s="64" t="s">
        <v>57</v>
      </c>
      <c r="Q5" s="64" t="s">
        <v>133</v>
      </c>
      <c r="R5" s="9"/>
      <c r="S5" s="64"/>
      <c r="T5" s="64"/>
      <c r="U5" s="49"/>
      <c r="V5" s="64"/>
      <c r="W5" s="64"/>
      <c r="X5" s="64"/>
      <c r="Y5" s="64"/>
      <c r="Z5" s="9"/>
      <c r="AA5" s="64"/>
      <c r="AB5" s="64"/>
      <c r="AC5" s="64"/>
      <c r="AD5" s="9"/>
      <c r="AE5" s="64"/>
      <c r="AF5" s="64"/>
      <c r="AG5" s="49"/>
      <c r="AH5" s="64"/>
      <c r="AI5" s="64"/>
      <c r="AJ5" s="64"/>
      <c r="AK5" s="64"/>
      <c r="AL5" s="9"/>
      <c r="AM5" s="64"/>
      <c r="AN5" s="64"/>
      <c r="AO5" s="49"/>
      <c r="AP5" s="36">
        <v>3</v>
      </c>
      <c r="AQ5" s="36">
        <v>3</v>
      </c>
      <c r="AR5" s="36">
        <v>3</v>
      </c>
      <c r="AS5" s="36">
        <v>2</v>
      </c>
      <c r="AT5" s="65">
        <v>11</v>
      </c>
      <c r="AU5" s="33">
        <v>0.6875</v>
      </c>
      <c r="AV5" s="1">
        <v>4</v>
      </c>
      <c r="AW5" s="1"/>
    </row>
    <row r="6" spans="1:49" x14ac:dyDescent="0.3">
      <c r="A6" s="4" t="s">
        <v>83</v>
      </c>
      <c r="B6" s="38"/>
      <c r="C6" s="66"/>
      <c r="D6" s="66"/>
      <c r="E6" s="67"/>
      <c r="F6" s="66" t="s">
        <v>133</v>
      </c>
      <c r="G6" s="66" t="s">
        <v>133</v>
      </c>
      <c r="H6" s="66" t="s">
        <v>133</v>
      </c>
      <c r="I6" s="66" t="s">
        <v>133</v>
      </c>
      <c r="J6" s="38" t="s">
        <v>133</v>
      </c>
      <c r="K6" s="66" t="s">
        <v>133</v>
      </c>
      <c r="L6" s="66" t="s">
        <v>133</v>
      </c>
      <c r="M6" s="67" t="s">
        <v>133</v>
      </c>
      <c r="N6" s="66" t="s">
        <v>133</v>
      </c>
      <c r="O6" s="66" t="s">
        <v>133</v>
      </c>
      <c r="P6" s="66" t="s">
        <v>57</v>
      </c>
      <c r="Q6" s="66" t="s">
        <v>57</v>
      </c>
      <c r="R6" s="38"/>
      <c r="S6" s="66"/>
      <c r="T6" s="66"/>
      <c r="U6" s="67"/>
      <c r="V6" s="66"/>
      <c r="W6" s="66"/>
      <c r="X6" s="66"/>
      <c r="Y6" s="66"/>
      <c r="Z6" s="38"/>
      <c r="AA6" s="66"/>
      <c r="AB6" s="66"/>
      <c r="AC6" s="66"/>
      <c r="AD6" s="38"/>
      <c r="AE6" s="66"/>
      <c r="AF6" s="66"/>
      <c r="AG6" s="67"/>
      <c r="AH6" s="66"/>
      <c r="AI6" s="66"/>
      <c r="AJ6" s="66"/>
      <c r="AK6" s="66"/>
      <c r="AL6" s="38"/>
      <c r="AM6" s="66"/>
      <c r="AN6" s="66"/>
      <c r="AO6" s="67"/>
      <c r="AP6" s="62">
        <v>0</v>
      </c>
      <c r="AQ6" s="62">
        <v>0</v>
      </c>
      <c r="AR6" s="62">
        <v>1</v>
      </c>
      <c r="AS6" s="62">
        <v>1</v>
      </c>
      <c r="AT6" s="31">
        <v>2</v>
      </c>
      <c r="AU6" s="32">
        <v>0.16666666666666666</v>
      </c>
      <c r="AV6" s="63">
        <v>3</v>
      </c>
      <c r="AW6" s="63"/>
    </row>
    <row r="7" spans="1:49" x14ac:dyDescent="0.3">
      <c r="A7" s="3" t="s">
        <v>90</v>
      </c>
      <c r="B7" s="9"/>
      <c r="C7" s="64"/>
      <c r="D7" s="64"/>
      <c r="E7" s="49"/>
      <c r="F7" s="64" t="s">
        <v>57</v>
      </c>
      <c r="G7" s="64" t="s">
        <v>57</v>
      </c>
      <c r="H7" s="64" t="s">
        <v>57</v>
      </c>
      <c r="I7" s="64" t="s">
        <v>57</v>
      </c>
      <c r="J7" s="9" t="s">
        <v>57</v>
      </c>
      <c r="K7" s="64" t="s">
        <v>57</v>
      </c>
      <c r="L7" s="64" t="s">
        <v>57</v>
      </c>
      <c r="M7" s="49" t="s">
        <v>57</v>
      </c>
      <c r="N7" s="64" t="s">
        <v>57</v>
      </c>
      <c r="O7" s="64" t="s">
        <v>57</v>
      </c>
      <c r="P7" s="64" t="s">
        <v>57</v>
      </c>
      <c r="Q7" s="64" t="s">
        <v>57</v>
      </c>
      <c r="R7" s="9"/>
      <c r="S7" s="64"/>
      <c r="T7" s="64"/>
      <c r="U7" s="49"/>
      <c r="V7" s="64"/>
      <c r="W7" s="64"/>
      <c r="X7" s="64"/>
      <c r="Y7" s="64"/>
      <c r="Z7" s="9"/>
      <c r="AA7" s="64"/>
      <c r="AB7" s="64"/>
      <c r="AC7" s="64"/>
      <c r="AD7" s="9"/>
      <c r="AE7" s="64"/>
      <c r="AF7" s="64"/>
      <c r="AG7" s="49"/>
      <c r="AH7" s="64"/>
      <c r="AI7" s="64"/>
      <c r="AJ7" s="64"/>
      <c r="AK7" s="64"/>
      <c r="AL7" s="9"/>
      <c r="AM7" s="64"/>
      <c r="AN7" s="64"/>
      <c r="AO7" s="49"/>
      <c r="AP7" s="36">
        <v>3</v>
      </c>
      <c r="AQ7" s="36">
        <v>3</v>
      </c>
      <c r="AR7" s="36">
        <v>3</v>
      </c>
      <c r="AS7" s="36">
        <v>3</v>
      </c>
      <c r="AT7" s="65">
        <v>12</v>
      </c>
      <c r="AU7" s="33">
        <v>1</v>
      </c>
      <c r="AV7" s="1">
        <v>3</v>
      </c>
      <c r="AW7" s="1"/>
    </row>
    <row r="8" spans="1:49" x14ac:dyDescent="0.3">
      <c r="A8" s="4"/>
      <c r="B8" s="38"/>
      <c r="C8" s="66"/>
      <c r="D8" s="66"/>
      <c r="E8" s="67"/>
      <c r="F8" s="66"/>
      <c r="G8" s="66" t="s">
        <v>67</v>
      </c>
      <c r="H8" s="66"/>
      <c r="I8" s="66"/>
      <c r="J8" s="38"/>
      <c r="K8" s="66"/>
      <c r="L8" s="66"/>
      <c r="M8" s="67"/>
      <c r="N8" s="66"/>
      <c r="O8" s="66"/>
      <c r="P8" s="66"/>
      <c r="Q8" s="66"/>
      <c r="R8" s="38"/>
      <c r="S8" s="66"/>
      <c r="T8" s="66"/>
      <c r="U8" s="67"/>
      <c r="V8" s="66"/>
      <c r="W8" s="66"/>
      <c r="X8" s="66"/>
      <c r="Y8" s="66"/>
      <c r="Z8" s="38"/>
      <c r="AA8" s="66"/>
      <c r="AB8" s="66"/>
      <c r="AC8" s="66"/>
      <c r="AD8" s="38"/>
      <c r="AE8" s="66"/>
      <c r="AF8" s="66"/>
      <c r="AG8" s="67"/>
      <c r="AH8" s="66"/>
      <c r="AI8" s="66"/>
      <c r="AJ8" s="66"/>
      <c r="AK8" s="66"/>
      <c r="AL8" s="38"/>
      <c r="AM8" s="66"/>
      <c r="AN8" s="66"/>
      <c r="AO8" s="67"/>
      <c r="AP8" s="62"/>
      <c r="AQ8" s="62"/>
      <c r="AR8" s="62"/>
      <c r="AS8" s="62"/>
      <c r="AT8" s="31"/>
      <c r="AU8" s="32"/>
      <c r="AV8" s="63"/>
      <c r="AW8" s="63"/>
    </row>
    <row r="9" spans="1:49" x14ac:dyDescent="0.3">
      <c r="A9" s="3" t="s">
        <v>123</v>
      </c>
      <c r="B9" s="9"/>
      <c r="C9" s="64"/>
      <c r="D9" s="64"/>
      <c r="E9" s="49"/>
      <c r="F9" s="64" t="s">
        <v>57</v>
      </c>
      <c r="G9" s="64" t="s">
        <v>57</v>
      </c>
      <c r="H9" s="64" t="s">
        <v>57</v>
      </c>
      <c r="I9" s="64" t="s">
        <v>57</v>
      </c>
      <c r="J9" s="9"/>
      <c r="K9" s="64"/>
      <c r="L9" s="64"/>
      <c r="M9" s="49"/>
      <c r="N9" s="64"/>
      <c r="O9" s="64"/>
      <c r="P9" s="64"/>
      <c r="Q9" s="64"/>
      <c r="R9" s="9"/>
      <c r="S9" s="64"/>
      <c r="T9" s="64"/>
      <c r="U9" s="49"/>
      <c r="V9" s="64"/>
      <c r="W9" s="64"/>
      <c r="X9" s="64"/>
      <c r="Y9" s="64"/>
      <c r="Z9" s="9"/>
      <c r="AA9" s="64"/>
      <c r="AB9" s="64"/>
      <c r="AC9" s="64"/>
      <c r="AD9" s="9"/>
      <c r="AE9" s="64"/>
      <c r="AF9" s="64"/>
      <c r="AG9" s="49"/>
      <c r="AH9" s="64"/>
      <c r="AI9" s="64"/>
      <c r="AJ9" s="64"/>
      <c r="AK9" s="64"/>
      <c r="AL9" s="9"/>
      <c r="AM9" s="64"/>
      <c r="AN9" s="64"/>
      <c r="AO9" s="49"/>
      <c r="AP9" s="36">
        <v>1</v>
      </c>
      <c r="AQ9" s="36">
        <v>1</v>
      </c>
      <c r="AR9" s="36">
        <v>1</v>
      </c>
      <c r="AS9" s="36">
        <v>1</v>
      </c>
      <c r="AT9" s="65">
        <v>4</v>
      </c>
      <c r="AU9" s="33">
        <v>1</v>
      </c>
      <c r="AV9" s="1">
        <v>1</v>
      </c>
      <c r="AW9" s="1"/>
    </row>
    <row r="10" spans="1:49" x14ac:dyDescent="0.3">
      <c r="A10" s="4" t="s">
        <v>102</v>
      </c>
      <c r="B10" s="38"/>
      <c r="C10" s="66"/>
      <c r="D10" s="66"/>
      <c r="E10" s="67"/>
      <c r="F10" s="66"/>
      <c r="G10" s="66"/>
      <c r="H10" s="66"/>
      <c r="I10" s="66"/>
      <c r="J10" s="38"/>
      <c r="K10" s="66"/>
      <c r="L10" s="66"/>
      <c r="M10" s="67"/>
      <c r="N10" s="66"/>
      <c r="O10" s="66"/>
      <c r="P10" s="66"/>
      <c r="Q10" s="66"/>
      <c r="R10" s="38"/>
      <c r="S10" s="66"/>
      <c r="T10" s="66"/>
      <c r="U10" s="67"/>
      <c r="V10" s="66"/>
      <c r="W10" s="66"/>
      <c r="X10" s="66"/>
      <c r="Y10" s="66"/>
      <c r="Z10" s="38"/>
      <c r="AA10" s="66"/>
      <c r="AB10" s="66"/>
      <c r="AC10" s="66"/>
      <c r="AD10" s="38"/>
      <c r="AE10" s="66"/>
      <c r="AF10" s="66"/>
      <c r="AG10" s="67"/>
      <c r="AH10" s="66"/>
      <c r="AI10" s="66"/>
      <c r="AJ10" s="66"/>
      <c r="AK10" s="66"/>
      <c r="AL10" s="38"/>
      <c r="AM10" s="66"/>
      <c r="AN10" s="66"/>
      <c r="AO10" s="67"/>
      <c r="AP10" s="62"/>
      <c r="AQ10" s="62"/>
      <c r="AR10" s="62"/>
      <c r="AS10" s="62"/>
      <c r="AT10" s="31"/>
      <c r="AU10" s="32"/>
      <c r="AV10" s="63"/>
      <c r="AW10" s="63"/>
    </row>
    <row r="11" spans="1:49" x14ac:dyDescent="0.3">
      <c r="A11" s="3" t="s">
        <v>109</v>
      </c>
      <c r="B11" s="9"/>
      <c r="C11" s="64"/>
      <c r="D11" s="64"/>
      <c r="E11" s="49"/>
      <c r="F11" s="64" t="s">
        <v>57</v>
      </c>
      <c r="G11" s="64" t="s">
        <v>57</v>
      </c>
      <c r="H11" s="64" t="s">
        <v>57</v>
      </c>
      <c r="I11" s="64" t="s">
        <v>133</v>
      </c>
      <c r="J11" s="9"/>
      <c r="K11" s="64"/>
      <c r="L11" s="64"/>
      <c r="M11" s="49"/>
      <c r="N11" s="64"/>
      <c r="O11" s="64"/>
      <c r="P11" s="64"/>
      <c r="Q11" s="64"/>
      <c r="R11" s="9"/>
      <c r="S11" s="64"/>
      <c r="T11" s="64"/>
      <c r="U11" s="49"/>
      <c r="V11" s="64"/>
      <c r="W11" s="64"/>
      <c r="X11" s="64"/>
      <c r="Y11" s="64"/>
      <c r="Z11" s="9"/>
      <c r="AA11" s="64"/>
      <c r="AB11" s="64"/>
      <c r="AC11" s="64"/>
      <c r="AD11" s="9"/>
      <c r="AE11" s="64"/>
      <c r="AF11" s="64"/>
      <c r="AG11" s="49"/>
      <c r="AH11" s="64"/>
      <c r="AI11" s="64"/>
      <c r="AJ11" s="64"/>
      <c r="AK11" s="64"/>
      <c r="AL11" s="9"/>
      <c r="AM11" s="64"/>
      <c r="AN11" s="64"/>
      <c r="AO11" s="49"/>
      <c r="AP11" s="36">
        <v>1</v>
      </c>
      <c r="AQ11" s="36">
        <v>1</v>
      </c>
      <c r="AR11" s="36">
        <v>1</v>
      </c>
      <c r="AS11" s="36">
        <v>0</v>
      </c>
      <c r="AT11" s="65">
        <v>3</v>
      </c>
      <c r="AU11" s="33">
        <v>0.75</v>
      </c>
      <c r="AV11" s="1">
        <v>1</v>
      </c>
      <c r="AW11" s="1"/>
    </row>
    <row r="12" spans="1:49" x14ac:dyDescent="0.3">
      <c r="A12" s="4" t="s">
        <v>81</v>
      </c>
      <c r="B12" s="38"/>
      <c r="C12" s="66"/>
      <c r="D12" s="66"/>
      <c r="E12" s="67"/>
      <c r="F12" s="66" t="s">
        <v>57</v>
      </c>
      <c r="G12" s="66" t="s">
        <v>57</v>
      </c>
      <c r="H12" s="66" t="s">
        <v>57</v>
      </c>
      <c r="I12" s="66" t="s">
        <v>133</v>
      </c>
      <c r="J12" s="38"/>
      <c r="K12" s="66"/>
      <c r="L12" s="66"/>
      <c r="M12" s="67"/>
      <c r="N12" s="66"/>
      <c r="O12" s="66"/>
      <c r="P12" s="66"/>
      <c r="Q12" s="66"/>
      <c r="R12" s="38"/>
      <c r="S12" s="66"/>
      <c r="T12" s="66"/>
      <c r="U12" s="67"/>
      <c r="V12" s="66"/>
      <c r="W12" s="66"/>
      <c r="X12" s="66"/>
      <c r="Y12" s="66"/>
      <c r="Z12" s="38"/>
      <c r="AA12" s="66"/>
      <c r="AB12" s="66"/>
      <c r="AC12" s="66"/>
      <c r="AD12" s="38"/>
      <c r="AE12" s="66"/>
      <c r="AF12" s="66"/>
      <c r="AG12" s="67"/>
      <c r="AH12" s="66"/>
      <c r="AI12" s="66"/>
      <c r="AJ12" s="66"/>
      <c r="AK12" s="66"/>
      <c r="AL12" s="38"/>
      <c r="AM12" s="66"/>
      <c r="AN12" s="66"/>
      <c r="AO12" s="67"/>
      <c r="AP12" s="62">
        <v>1</v>
      </c>
      <c r="AQ12" s="62">
        <v>1</v>
      </c>
      <c r="AR12" s="62">
        <v>1</v>
      </c>
      <c r="AS12" s="62">
        <v>0</v>
      </c>
      <c r="AT12" s="31">
        <v>3</v>
      </c>
      <c r="AU12" s="32">
        <v>0.75</v>
      </c>
      <c r="AV12" s="63">
        <v>1</v>
      </c>
      <c r="AW12" s="63"/>
    </row>
    <row r="13" spans="1:49" x14ac:dyDescent="0.3">
      <c r="A13" s="3"/>
      <c r="B13" s="9"/>
      <c r="C13" s="64"/>
      <c r="D13" s="64"/>
      <c r="E13" s="49"/>
      <c r="F13" s="64"/>
      <c r="G13" s="64"/>
      <c r="H13" s="64"/>
      <c r="I13" s="64"/>
      <c r="J13" s="9"/>
      <c r="K13" s="64"/>
      <c r="L13" s="64"/>
      <c r="M13" s="49"/>
      <c r="N13" s="64"/>
      <c r="O13" s="64"/>
      <c r="P13" s="64"/>
      <c r="Q13" s="64"/>
      <c r="R13" s="9"/>
      <c r="S13" s="64"/>
      <c r="T13" s="64"/>
      <c r="U13" s="49"/>
      <c r="V13" s="64"/>
      <c r="W13" s="64"/>
      <c r="X13" s="64"/>
      <c r="Y13" s="64"/>
      <c r="Z13" s="9"/>
      <c r="AA13" s="64"/>
      <c r="AB13" s="64"/>
      <c r="AC13" s="64"/>
      <c r="AD13" s="9"/>
      <c r="AE13" s="64"/>
      <c r="AF13" s="64"/>
      <c r="AG13" s="49"/>
      <c r="AH13" s="64"/>
      <c r="AI13" s="64"/>
      <c r="AJ13" s="64"/>
      <c r="AK13" s="64"/>
      <c r="AL13" s="9"/>
      <c r="AM13" s="64"/>
      <c r="AN13" s="64"/>
      <c r="AO13" s="49"/>
      <c r="AP13" s="36"/>
      <c r="AQ13" s="36"/>
      <c r="AR13" s="36"/>
      <c r="AS13" s="36"/>
      <c r="AT13" s="65"/>
      <c r="AU13" s="33"/>
      <c r="AV13" s="1"/>
      <c r="AW13" s="1"/>
    </row>
    <row r="14" spans="1:49" x14ac:dyDescent="0.3">
      <c r="A14" s="4"/>
      <c r="B14" s="38"/>
      <c r="C14" s="66"/>
      <c r="D14" s="66"/>
      <c r="E14" s="67"/>
      <c r="F14" s="66"/>
      <c r="G14" s="66"/>
      <c r="H14" s="66"/>
      <c r="I14" s="66"/>
      <c r="J14" s="38"/>
      <c r="K14" s="66"/>
      <c r="L14" s="66"/>
      <c r="M14" s="67"/>
      <c r="N14" s="66"/>
      <c r="O14" s="66"/>
      <c r="P14" s="66"/>
      <c r="Q14" s="66"/>
      <c r="R14" s="38"/>
      <c r="S14" s="66"/>
      <c r="T14" s="66"/>
      <c r="U14" s="67"/>
      <c r="V14" s="66"/>
      <c r="W14" s="66"/>
      <c r="X14" s="66"/>
      <c r="Y14" s="66"/>
      <c r="Z14" s="38"/>
      <c r="AA14" s="66"/>
      <c r="AB14" s="66"/>
      <c r="AC14" s="66"/>
      <c r="AD14" s="38"/>
      <c r="AE14" s="66"/>
      <c r="AF14" s="66"/>
      <c r="AG14" s="67"/>
      <c r="AH14" s="66"/>
      <c r="AI14" s="66"/>
      <c r="AJ14" s="66"/>
      <c r="AK14" s="66"/>
      <c r="AL14" s="38"/>
      <c r="AM14" s="66"/>
      <c r="AN14" s="66"/>
      <c r="AO14" s="67"/>
      <c r="AP14" s="62"/>
      <c r="AQ14" s="62"/>
      <c r="AR14" s="62"/>
      <c r="AS14" s="62"/>
      <c r="AT14" s="31"/>
      <c r="AU14" s="32"/>
      <c r="AV14" s="63"/>
      <c r="AW14" s="63"/>
    </row>
    <row r="15" spans="1:49" x14ac:dyDescent="0.3">
      <c r="A15" s="3"/>
      <c r="B15" s="9"/>
      <c r="C15" s="64"/>
      <c r="D15" s="64"/>
      <c r="E15" s="49"/>
      <c r="F15" s="64"/>
      <c r="G15" s="64"/>
      <c r="H15" s="64"/>
      <c r="I15" s="64"/>
      <c r="J15" s="9"/>
      <c r="K15" s="64"/>
      <c r="L15" s="64"/>
      <c r="M15" s="49"/>
      <c r="N15" s="64"/>
      <c r="O15" s="64"/>
      <c r="P15" s="64"/>
      <c r="Q15" s="64"/>
      <c r="R15" s="9"/>
      <c r="S15" s="64"/>
      <c r="T15" s="64"/>
      <c r="U15" s="49"/>
      <c r="V15" s="64"/>
      <c r="W15" s="64"/>
      <c r="X15" s="64"/>
      <c r="Y15" s="64"/>
      <c r="Z15" s="9"/>
      <c r="AA15" s="64"/>
      <c r="AB15" s="64"/>
      <c r="AC15" s="64"/>
      <c r="AD15" s="9"/>
      <c r="AE15" s="64"/>
      <c r="AF15" s="64"/>
      <c r="AG15" s="49"/>
      <c r="AH15" s="64"/>
      <c r="AI15" s="64"/>
      <c r="AJ15" s="64"/>
      <c r="AK15" s="64"/>
      <c r="AL15" s="9"/>
      <c r="AM15" s="64"/>
      <c r="AN15" s="64"/>
      <c r="AO15" s="49"/>
      <c r="AP15" s="36"/>
      <c r="AQ15" s="36"/>
      <c r="AR15" s="36"/>
      <c r="AS15" s="36"/>
      <c r="AT15" s="65"/>
      <c r="AU15" s="33"/>
      <c r="AV15" s="1"/>
      <c r="AW15" s="1"/>
    </row>
    <row r="16" spans="1:49" x14ac:dyDescent="0.3">
      <c r="A16" s="4"/>
      <c r="B16" s="38"/>
      <c r="C16" s="66"/>
      <c r="D16" s="66"/>
      <c r="E16" s="67"/>
      <c r="F16" s="66"/>
      <c r="G16" s="66"/>
      <c r="H16" s="66"/>
      <c r="I16" s="66"/>
      <c r="J16" s="38"/>
      <c r="K16" s="66"/>
      <c r="L16" s="66"/>
      <c r="M16" s="67"/>
      <c r="N16" s="66"/>
      <c r="O16" s="66"/>
      <c r="P16" s="66"/>
      <c r="Q16" s="66"/>
      <c r="R16" s="38"/>
      <c r="S16" s="66"/>
      <c r="T16" s="66"/>
      <c r="U16" s="67"/>
      <c r="V16" s="66"/>
      <c r="W16" s="66"/>
      <c r="X16" s="66"/>
      <c r="Y16" s="66"/>
      <c r="Z16" s="38"/>
      <c r="AA16" s="66"/>
      <c r="AB16" s="66"/>
      <c r="AC16" s="66"/>
      <c r="AD16" s="38"/>
      <c r="AE16" s="66"/>
      <c r="AF16" s="66"/>
      <c r="AG16" s="67"/>
      <c r="AH16" s="66"/>
      <c r="AI16" s="66"/>
      <c r="AJ16" s="66"/>
      <c r="AK16" s="66"/>
      <c r="AL16" s="38"/>
      <c r="AM16" s="66"/>
      <c r="AN16" s="66"/>
      <c r="AO16" s="67"/>
      <c r="AP16" s="62"/>
      <c r="AQ16" s="62"/>
      <c r="AR16" s="62"/>
      <c r="AS16" s="62"/>
      <c r="AT16" s="31"/>
      <c r="AU16" s="32"/>
      <c r="AV16" s="63"/>
      <c r="AW16" s="63"/>
    </row>
    <row r="17" spans="1:49" x14ac:dyDescent="0.3">
      <c r="A17" s="3"/>
      <c r="B17" s="9"/>
      <c r="C17" s="64"/>
      <c r="D17" s="64"/>
      <c r="E17" s="49"/>
      <c r="F17" s="64"/>
      <c r="G17" s="64"/>
      <c r="H17" s="64"/>
      <c r="I17" s="64"/>
      <c r="J17" s="9"/>
      <c r="K17" s="64"/>
      <c r="L17" s="64"/>
      <c r="M17" s="49"/>
      <c r="N17" s="64"/>
      <c r="O17" s="64"/>
      <c r="P17" s="64"/>
      <c r="Q17" s="64"/>
      <c r="R17" s="9"/>
      <c r="S17" s="64"/>
      <c r="T17" s="64"/>
      <c r="U17" s="49"/>
      <c r="V17" s="64"/>
      <c r="W17" s="64"/>
      <c r="X17" s="64"/>
      <c r="Y17" s="64"/>
      <c r="Z17" s="9"/>
      <c r="AA17" s="64"/>
      <c r="AB17" s="64"/>
      <c r="AC17" s="64"/>
      <c r="AD17" s="9"/>
      <c r="AE17" s="64"/>
      <c r="AF17" s="64"/>
      <c r="AG17" s="49"/>
      <c r="AH17" s="64"/>
      <c r="AI17" s="64"/>
      <c r="AJ17" s="64"/>
      <c r="AK17" s="64"/>
      <c r="AL17" s="9"/>
      <c r="AM17" s="64"/>
      <c r="AN17" s="64"/>
      <c r="AO17" s="49"/>
      <c r="AP17" s="36"/>
      <c r="AQ17" s="36"/>
      <c r="AR17" s="36"/>
      <c r="AS17" s="36"/>
      <c r="AT17" s="65"/>
      <c r="AU17" s="33"/>
      <c r="AV17" s="1"/>
      <c r="AW17" s="1"/>
    </row>
    <row r="18" spans="1:49" x14ac:dyDescent="0.3">
      <c r="A18" s="4"/>
      <c r="B18" s="38"/>
      <c r="C18" s="66"/>
      <c r="D18" s="66"/>
      <c r="E18" s="67"/>
      <c r="F18" s="66"/>
      <c r="G18" s="66"/>
      <c r="H18" s="66"/>
      <c r="I18" s="66"/>
      <c r="J18" s="38"/>
      <c r="K18" s="66"/>
      <c r="L18" s="66"/>
      <c r="M18" s="67"/>
      <c r="N18" s="66"/>
      <c r="O18" s="66"/>
      <c r="P18" s="66"/>
      <c r="Q18" s="66"/>
      <c r="R18" s="38"/>
      <c r="S18" s="66"/>
      <c r="T18" s="66"/>
      <c r="U18" s="67"/>
      <c r="V18" s="66"/>
      <c r="W18" s="66"/>
      <c r="X18" s="66"/>
      <c r="Y18" s="66"/>
      <c r="Z18" s="38"/>
      <c r="AA18" s="66"/>
      <c r="AB18" s="66"/>
      <c r="AC18" s="66"/>
      <c r="AD18" s="38"/>
      <c r="AE18" s="66"/>
      <c r="AF18" s="66"/>
      <c r="AG18" s="67"/>
      <c r="AH18" s="66"/>
      <c r="AI18" s="66"/>
      <c r="AJ18" s="66"/>
      <c r="AK18" s="66"/>
      <c r="AL18" s="38"/>
      <c r="AM18" s="66"/>
      <c r="AN18" s="66"/>
      <c r="AO18" s="67"/>
      <c r="AP18" s="62"/>
      <c r="AQ18" s="62"/>
      <c r="AR18" s="62"/>
      <c r="AS18" s="62"/>
      <c r="AT18" s="31"/>
      <c r="AU18" s="32"/>
      <c r="AV18" s="63"/>
      <c r="AW18" s="63"/>
    </row>
    <row r="19" spans="1:49" x14ac:dyDescent="0.3">
      <c r="A19" s="3"/>
      <c r="B19" s="9"/>
      <c r="C19" s="64"/>
      <c r="D19" s="64"/>
      <c r="E19" s="49"/>
      <c r="F19" s="64"/>
      <c r="G19" s="64"/>
      <c r="H19" s="64"/>
      <c r="I19" s="64"/>
      <c r="J19" s="9"/>
      <c r="K19" s="64"/>
      <c r="L19" s="64"/>
      <c r="M19" s="49"/>
      <c r="N19" s="64"/>
      <c r="O19" s="64"/>
      <c r="P19" s="64"/>
      <c r="Q19" s="64"/>
      <c r="R19" s="9"/>
      <c r="S19" s="64"/>
      <c r="T19" s="64"/>
      <c r="U19" s="49"/>
      <c r="V19" s="64"/>
      <c r="W19" s="64"/>
      <c r="X19" s="64"/>
      <c r="Y19" s="64"/>
      <c r="Z19" s="9"/>
      <c r="AA19" s="64"/>
      <c r="AB19" s="64"/>
      <c r="AC19" s="64"/>
      <c r="AD19" s="9"/>
      <c r="AE19" s="64"/>
      <c r="AF19" s="64"/>
      <c r="AG19" s="49"/>
      <c r="AH19" s="64"/>
      <c r="AI19" s="64"/>
      <c r="AJ19" s="64"/>
      <c r="AK19" s="64"/>
      <c r="AL19" s="9"/>
      <c r="AM19" s="64"/>
      <c r="AN19" s="64"/>
      <c r="AO19" s="49"/>
      <c r="AP19" s="36"/>
      <c r="AQ19" s="36"/>
      <c r="AR19" s="36"/>
      <c r="AS19" s="36"/>
      <c r="AT19" s="65"/>
      <c r="AU19" s="33"/>
      <c r="AV19" s="1"/>
      <c r="AW19" s="1"/>
    </row>
    <row r="20" spans="1:49" x14ac:dyDescent="0.3">
      <c r="A20" s="4"/>
      <c r="B20" s="38"/>
      <c r="C20" s="66"/>
      <c r="D20" s="66"/>
      <c r="E20" s="67"/>
      <c r="F20" s="66"/>
      <c r="G20" s="66"/>
      <c r="H20" s="66"/>
      <c r="I20" s="66"/>
      <c r="J20" s="38"/>
      <c r="K20" s="66"/>
      <c r="L20" s="66"/>
      <c r="M20" s="67"/>
      <c r="N20" s="66"/>
      <c r="O20" s="66"/>
      <c r="P20" s="66"/>
      <c r="Q20" s="66"/>
      <c r="R20" s="38"/>
      <c r="S20" s="66"/>
      <c r="T20" s="66"/>
      <c r="U20" s="67"/>
      <c r="V20" s="66"/>
      <c r="W20" s="66"/>
      <c r="X20" s="66"/>
      <c r="Y20" s="66"/>
      <c r="Z20" s="38"/>
      <c r="AA20" s="66"/>
      <c r="AB20" s="66"/>
      <c r="AC20" s="66"/>
      <c r="AD20" s="38"/>
      <c r="AE20" s="66"/>
      <c r="AF20" s="66"/>
      <c r="AG20" s="67"/>
      <c r="AH20" s="66"/>
      <c r="AI20" s="66"/>
      <c r="AJ20" s="66"/>
      <c r="AK20" s="66"/>
      <c r="AL20" s="38"/>
      <c r="AM20" s="66"/>
      <c r="AN20" s="66"/>
      <c r="AO20" s="67"/>
      <c r="AP20" s="62"/>
      <c r="AQ20" s="62"/>
      <c r="AR20" s="62"/>
      <c r="AS20" s="62"/>
      <c r="AT20" s="31"/>
      <c r="AU20" s="32"/>
      <c r="AV20" s="63"/>
      <c r="AW20" s="63"/>
    </row>
    <row r="21" spans="1:49" x14ac:dyDescent="0.3">
      <c r="A21" s="3"/>
      <c r="B21" s="9"/>
      <c r="C21" s="64"/>
      <c r="D21" s="64"/>
      <c r="E21" s="49"/>
      <c r="F21" s="64"/>
      <c r="G21" s="64"/>
      <c r="H21" s="64"/>
      <c r="I21" s="64"/>
      <c r="J21" s="9"/>
      <c r="K21" s="64"/>
      <c r="L21" s="64"/>
      <c r="M21" s="49"/>
      <c r="N21" s="64"/>
      <c r="O21" s="64"/>
      <c r="P21" s="64"/>
      <c r="Q21" s="64"/>
      <c r="R21" s="9"/>
      <c r="S21" s="64"/>
      <c r="T21" s="64"/>
      <c r="U21" s="49"/>
      <c r="V21" s="64"/>
      <c r="W21" s="64"/>
      <c r="X21" s="64"/>
      <c r="Y21" s="64"/>
      <c r="Z21" s="9"/>
      <c r="AA21" s="64"/>
      <c r="AB21" s="64"/>
      <c r="AC21" s="64"/>
      <c r="AD21" s="9"/>
      <c r="AE21" s="64"/>
      <c r="AF21" s="64"/>
      <c r="AG21" s="49"/>
      <c r="AH21" s="64"/>
      <c r="AI21" s="64"/>
      <c r="AJ21" s="64"/>
      <c r="AK21" s="64"/>
      <c r="AL21" s="9"/>
      <c r="AM21" s="64"/>
      <c r="AN21" s="64"/>
      <c r="AO21" s="49"/>
      <c r="AP21" s="36"/>
      <c r="AQ21" s="36"/>
      <c r="AR21" s="36"/>
      <c r="AS21" s="36"/>
      <c r="AT21" s="65"/>
      <c r="AU21" s="33"/>
      <c r="AV21" s="1"/>
      <c r="AW21" s="1"/>
    </row>
    <row r="22" spans="1:49" x14ac:dyDescent="0.3">
      <c r="A22" s="4"/>
      <c r="B22" s="38"/>
      <c r="C22" s="66"/>
      <c r="D22" s="66"/>
      <c r="E22" s="67"/>
      <c r="F22" s="66"/>
      <c r="G22" s="66"/>
      <c r="H22" s="66"/>
      <c r="I22" s="66"/>
      <c r="J22" s="38"/>
      <c r="K22" s="66"/>
      <c r="L22" s="66"/>
      <c r="M22" s="67"/>
      <c r="N22" s="66"/>
      <c r="O22" s="66"/>
      <c r="P22" s="66"/>
      <c r="Q22" s="66"/>
      <c r="R22" s="38"/>
      <c r="S22" s="66"/>
      <c r="T22" s="66"/>
      <c r="U22" s="67"/>
      <c r="V22" s="66"/>
      <c r="W22" s="66"/>
      <c r="X22" s="66"/>
      <c r="Y22" s="66"/>
      <c r="Z22" s="38"/>
      <c r="AA22" s="66"/>
      <c r="AB22" s="66"/>
      <c r="AC22" s="66"/>
      <c r="AD22" s="38"/>
      <c r="AE22" s="66"/>
      <c r="AF22" s="66"/>
      <c r="AG22" s="67"/>
      <c r="AH22" s="66"/>
      <c r="AI22" s="66"/>
      <c r="AJ22" s="66"/>
      <c r="AK22" s="66"/>
      <c r="AL22" s="38"/>
      <c r="AM22" s="66"/>
      <c r="AN22" s="66"/>
      <c r="AO22" s="67"/>
      <c r="AP22" s="62"/>
      <c r="AQ22" s="62"/>
      <c r="AR22" s="62"/>
      <c r="AS22" s="62"/>
      <c r="AT22" s="31"/>
      <c r="AU22" s="32"/>
      <c r="AV22" s="63"/>
      <c r="AW22" s="63"/>
    </row>
    <row r="23" spans="1:49" x14ac:dyDescent="0.3">
      <c r="A23" s="3"/>
      <c r="B23" s="9"/>
      <c r="C23" s="64"/>
      <c r="D23" s="64"/>
      <c r="E23" s="49"/>
      <c r="F23" s="64"/>
      <c r="G23" s="64"/>
      <c r="H23" s="64"/>
      <c r="I23" s="64"/>
      <c r="J23" s="9"/>
      <c r="K23" s="64"/>
      <c r="L23" s="64"/>
      <c r="M23" s="49"/>
      <c r="N23" s="64"/>
      <c r="O23" s="64"/>
      <c r="P23" s="64"/>
      <c r="Q23" s="64"/>
      <c r="R23" s="9"/>
      <c r="S23" s="64"/>
      <c r="T23" s="64"/>
      <c r="U23" s="49"/>
      <c r="V23" s="64"/>
      <c r="W23" s="64"/>
      <c r="X23" s="64"/>
      <c r="Y23" s="64"/>
      <c r="Z23" s="9"/>
      <c r="AA23" s="64"/>
      <c r="AB23" s="64"/>
      <c r="AC23" s="64"/>
      <c r="AD23" s="9"/>
      <c r="AE23" s="64"/>
      <c r="AF23" s="64"/>
      <c r="AG23" s="49"/>
      <c r="AH23" s="64"/>
      <c r="AI23" s="64"/>
      <c r="AJ23" s="64"/>
      <c r="AK23" s="64"/>
      <c r="AL23" s="9"/>
      <c r="AM23" s="64"/>
      <c r="AN23" s="64"/>
      <c r="AO23" s="49"/>
      <c r="AP23" s="36"/>
      <c r="AQ23" s="36"/>
      <c r="AR23" s="36"/>
      <c r="AS23" s="36"/>
      <c r="AT23" s="65"/>
      <c r="AU23" s="33"/>
      <c r="AV23" s="1"/>
      <c r="AW23" s="1"/>
    </row>
    <row r="24" spans="1:49" x14ac:dyDescent="0.3">
      <c r="A24" s="4"/>
      <c r="B24" s="38"/>
      <c r="C24" s="66"/>
      <c r="D24" s="66"/>
      <c r="E24" s="67"/>
      <c r="F24" s="66"/>
      <c r="G24" s="66"/>
      <c r="H24" s="66"/>
      <c r="I24" s="66"/>
      <c r="J24" s="38"/>
      <c r="K24" s="66"/>
      <c r="L24" s="66"/>
      <c r="M24" s="67"/>
      <c r="N24" s="66"/>
      <c r="O24" s="66"/>
      <c r="P24" s="66"/>
      <c r="Q24" s="66"/>
      <c r="R24" s="38"/>
      <c r="S24" s="66"/>
      <c r="T24" s="66"/>
      <c r="U24" s="67"/>
      <c r="V24" s="66"/>
      <c r="W24" s="66"/>
      <c r="X24" s="66"/>
      <c r="Y24" s="66"/>
      <c r="Z24" s="38"/>
      <c r="AA24" s="66"/>
      <c r="AB24" s="66"/>
      <c r="AC24" s="66"/>
      <c r="AD24" s="38"/>
      <c r="AE24" s="66"/>
      <c r="AF24" s="66"/>
      <c r="AG24" s="67"/>
      <c r="AH24" s="66"/>
      <c r="AI24" s="66"/>
      <c r="AJ24" s="66"/>
      <c r="AK24" s="66"/>
      <c r="AL24" s="38"/>
      <c r="AM24" s="66"/>
      <c r="AN24" s="66"/>
      <c r="AO24" s="67"/>
      <c r="AP24" s="62"/>
      <c r="AQ24" s="62"/>
      <c r="AR24" s="62"/>
      <c r="AS24" s="62"/>
      <c r="AT24" s="31"/>
      <c r="AU24" s="32"/>
      <c r="AV24" s="63"/>
      <c r="AW24" s="63"/>
    </row>
    <row r="25" spans="1:49" x14ac:dyDescent="0.3">
      <c r="A25" s="3"/>
      <c r="B25" s="9"/>
      <c r="C25" s="64"/>
      <c r="D25" s="64"/>
      <c r="E25" s="49"/>
      <c r="F25" s="64"/>
      <c r="G25" s="64"/>
      <c r="H25" s="64"/>
      <c r="I25" s="64"/>
      <c r="J25" s="9"/>
      <c r="K25" s="64"/>
      <c r="L25" s="64"/>
      <c r="M25" s="49"/>
      <c r="N25" s="64"/>
      <c r="O25" s="64"/>
      <c r="P25" s="64"/>
      <c r="Q25" s="64"/>
      <c r="R25" s="9"/>
      <c r="S25" s="64"/>
      <c r="T25" s="64"/>
      <c r="U25" s="49"/>
      <c r="V25" s="64"/>
      <c r="W25" s="64"/>
      <c r="X25" s="64"/>
      <c r="Y25" s="64"/>
      <c r="Z25" s="9"/>
      <c r="AA25" s="64"/>
      <c r="AB25" s="64"/>
      <c r="AC25" s="64"/>
      <c r="AD25" s="9"/>
      <c r="AE25" s="64"/>
      <c r="AF25" s="64"/>
      <c r="AG25" s="49"/>
      <c r="AH25" s="64"/>
      <c r="AI25" s="64"/>
      <c r="AJ25" s="64"/>
      <c r="AK25" s="64"/>
      <c r="AL25" s="9"/>
      <c r="AM25" s="64"/>
      <c r="AN25" s="64"/>
      <c r="AO25" s="49"/>
      <c r="AP25" s="36"/>
      <c r="AQ25" s="36"/>
      <c r="AR25" s="36"/>
      <c r="AS25" s="36"/>
      <c r="AT25" s="65"/>
      <c r="AU25" s="33"/>
      <c r="AV25" s="1"/>
      <c r="AW25" s="1"/>
    </row>
    <row r="26" spans="1:49" x14ac:dyDescent="0.3">
      <c r="A26" s="4"/>
      <c r="B26" s="38"/>
      <c r="C26" s="66"/>
      <c r="D26" s="66"/>
      <c r="E26" s="67"/>
      <c r="F26" s="66"/>
      <c r="G26" s="66"/>
      <c r="H26" s="66"/>
      <c r="I26" s="66"/>
      <c r="J26" s="38"/>
      <c r="K26" s="66"/>
      <c r="L26" s="66"/>
      <c r="M26" s="67"/>
      <c r="N26" s="66"/>
      <c r="O26" s="66"/>
      <c r="P26" s="66"/>
      <c r="Q26" s="66"/>
      <c r="R26" s="38"/>
      <c r="S26" s="66"/>
      <c r="T26" s="66"/>
      <c r="U26" s="67"/>
      <c r="V26" s="66"/>
      <c r="W26" s="66"/>
      <c r="X26" s="66"/>
      <c r="Y26" s="66"/>
      <c r="Z26" s="38"/>
      <c r="AA26" s="66"/>
      <c r="AB26" s="66"/>
      <c r="AC26" s="66"/>
      <c r="AD26" s="38"/>
      <c r="AE26" s="66"/>
      <c r="AF26" s="66"/>
      <c r="AG26" s="67"/>
      <c r="AH26" s="66"/>
      <c r="AI26" s="66"/>
      <c r="AJ26" s="66"/>
      <c r="AK26" s="66"/>
      <c r="AL26" s="38"/>
      <c r="AM26" s="66"/>
      <c r="AN26" s="66"/>
      <c r="AO26" s="67"/>
      <c r="AP26" s="62"/>
      <c r="AQ26" s="62"/>
      <c r="AR26" s="62"/>
      <c r="AS26" s="62"/>
      <c r="AT26" s="31"/>
      <c r="AU26" s="32"/>
      <c r="AV26" s="63"/>
      <c r="AW26" s="63"/>
    </row>
    <row r="27" spans="1:49" x14ac:dyDescent="0.3">
      <c r="A27" s="3"/>
      <c r="B27" s="9"/>
      <c r="C27" s="64"/>
      <c r="D27" s="64"/>
      <c r="E27" s="49"/>
      <c r="F27" s="64"/>
      <c r="G27" s="64"/>
      <c r="H27" s="64"/>
      <c r="I27" s="64"/>
      <c r="J27" s="9"/>
      <c r="K27" s="64"/>
      <c r="L27" s="64"/>
      <c r="M27" s="49"/>
      <c r="N27" s="64"/>
      <c r="O27" s="64"/>
      <c r="P27" s="64"/>
      <c r="Q27" s="64"/>
      <c r="R27" s="9"/>
      <c r="S27" s="64"/>
      <c r="T27" s="64"/>
      <c r="U27" s="49"/>
      <c r="V27" s="64"/>
      <c r="W27" s="64"/>
      <c r="X27" s="64"/>
      <c r="Y27" s="64"/>
      <c r="Z27" s="9"/>
      <c r="AA27" s="64"/>
      <c r="AB27" s="64"/>
      <c r="AC27" s="64"/>
      <c r="AD27" s="9"/>
      <c r="AE27" s="64"/>
      <c r="AF27" s="64"/>
      <c r="AG27" s="49"/>
      <c r="AH27" s="64"/>
      <c r="AI27" s="64"/>
      <c r="AJ27" s="64"/>
      <c r="AK27" s="64"/>
      <c r="AL27" s="9"/>
      <c r="AM27" s="64"/>
      <c r="AN27" s="64"/>
      <c r="AO27" s="49"/>
      <c r="AP27" s="36"/>
      <c r="AQ27" s="36"/>
      <c r="AR27" s="36"/>
      <c r="AS27" s="36"/>
      <c r="AT27" s="65"/>
      <c r="AU27" s="33"/>
      <c r="AV27" s="1"/>
      <c r="AW27" s="1"/>
    </row>
    <row r="28" spans="1:49" x14ac:dyDescent="0.3">
      <c r="A28" s="4"/>
      <c r="B28" s="38"/>
      <c r="C28" s="66"/>
      <c r="D28" s="66"/>
      <c r="E28" s="67"/>
      <c r="F28" s="66"/>
      <c r="G28" s="66"/>
      <c r="H28" s="66"/>
      <c r="I28" s="66"/>
      <c r="J28" s="38"/>
      <c r="K28" s="66"/>
      <c r="L28" s="66"/>
      <c r="M28" s="67"/>
      <c r="N28" s="66"/>
      <c r="O28" s="66"/>
      <c r="P28" s="66"/>
      <c r="Q28" s="66"/>
      <c r="R28" s="38"/>
      <c r="S28" s="66"/>
      <c r="T28" s="66"/>
      <c r="U28" s="67"/>
      <c r="V28" s="66"/>
      <c r="W28" s="66"/>
      <c r="X28" s="66"/>
      <c r="Y28" s="66"/>
      <c r="Z28" s="38"/>
      <c r="AA28" s="66"/>
      <c r="AB28" s="66"/>
      <c r="AC28" s="66"/>
      <c r="AD28" s="38"/>
      <c r="AE28" s="66"/>
      <c r="AF28" s="66"/>
      <c r="AG28" s="67"/>
      <c r="AH28" s="66"/>
      <c r="AI28" s="66"/>
      <c r="AJ28" s="66"/>
      <c r="AK28" s="66"/>
      <c r="AL28" s="38"/>
      <c r="AM28" s="66"/>
      <c r="AN28" s="66"/>
      <c r="AO28" s="67"/>
      <c r="AP28" s="62"/>
      <c r="AQ28" s="62"/>
      <c r="AR28" s="62"/>
      <c r="AS28" s="62"/>
      <c r="AT28" s="31"/>
      <c r="AU28" s="32"/>
      <c r="AV28" s="63"/>
      <c r="AW28" s="63"/>
    </row>
    <row r="29" spans="1:49" x14ac:dyDescent="0.3">
      <c r="A29" s="3"/>
      <c r="B29" s="9"/>
      <c r="C29" s="64"/>
      <c r="D29" s="64"/>
      <c r="E29" s="49"/>
      <c r="F29" s="64"/>
      <c r="G29" s="64"/>
      <c r="H29" s="64"/>
      <c r="I29" s="64"/>
      <c r="J29" s="9"/>
      <c r="K29" s="64"/>
      <c r="L29" s="64"/>
      <c r="M29" s="49"/>
      <c r="N29" s="64"/>
      <c r="O29" s="64"/>
      <c r="P29" s="64"/>
      <c r="Q29" s="64"/>
      <c r="R29" s="9"/>
      <c r="S29" s="64"/>
      <c r="T29" s="64"/>
      <c r="U29" s="49"/>
      <c r="V29" s="64"/>
      <c r="W29" s="64"/>
      <c r="X29" s="64"/>
      <c r="Y29" s="64"/>
      <c r="Z29" s="9"/>
      <c r="AA29" s="64"/>
      <c r="AB29" s="64"/>
      <c r="AC29" s="64"/>
      <c r="AD29" s="9"/>
      <c r="AE29" s="64"/>
      <c r="AF29" s="64"/>
      <c r="AG29" s="49"/>
      <c r="AH29" s="64"/>
      <c r="AI29" s="64"/>
      <c r="AJ29" s="64"/>
      <c r="AK29" s="64"/>
      <c r="AL29" s="9"/>
      <c r="AM29" s="64"/>
      <c r="AN29" s="64"/>
      <c r="AO29" s="49"/>
      <c r="AP29" s="36"/>
      <c r="AQ29" s="36"/>
      <c r="AR29" s="36"/>
      <c r="AS29" s="36"/>
      <c r="AT29" s="65"/>
      <c r="AU29" s="33"/>
      <c r="AV29" s="1"/>
      <c r="AW29" s="1"/>
    </row>
    <row r="30" spans="1:49" x14ac:dyDescent="0.3">
      <c r="A30" s="4"/>
      <c r="B30" s="38"/>
      <c r="C30" s="66"/>
      <c r="D30" s="66"/>
      <c r="E30" s="67"/>
      <c r="F30" s="66"/>
      <c r="G30" s="66"/>
      <c r="H30" s="66"/>
      <c r="I30" s="66"/>
      <c r="J30" s="38"/>
      <c r="K30" s="66"/>
      <c r="L30" s="66"/>
      <c r="M30" s="67"/>
      <c r="N30" s="66"/>
      <c r="O30" s="66"/>
      <c r="P30" s="66"/>
      <c r="Q30" s="66"/>
      <c r="R30" s="38"/>
      <c r="S30" s="66"/>
      <c r="T30" s="66"/>
      <c r="U30" s="67"/>
      <c r="V30" s="66"/>
      <c r="W30" s="66"/>
      <c r="X30" s="66"/>
      <c r="Y30" s="66"/>
      <c r="Z30" s="38"/>
      <c r="AA30" s="66"/>
      <c r="AB30" s="66"/>
      <c r="AC30" s="66"/>
      <c r="AD30" s="38"/>
      <c r="AE30" s="66"/>
      <c r="AF30" s="66"/>
      <c r="AG30" s="67"/>
      <c r="AH30" s="66"/>
      <c r="AI30" s="66"/>
      <c r="AJ30" s="66"/>
      <c r="AK30" s="66"/>
      <c r="AL30" s="38"/>
      <c r="AM30" s="66"/>
      <c r="AN30" s="66"/>
      <c r="AO30" s="67"/>
      <c r="AP30" s="62"/>
      <c r="AQ30" s="62"/>
      <c r="AR30" s="62"/>
      <c r="AS30" s="62"/>
      <c r="AT30" s="31"/>
      <c r="AU30" s="32"/>
      <c r="AV30" s="63"/>
      <c r="AW30" s="63"/>
    </row>
    <row r="31" spans="1:49" x14ac:dyDescent="0.3">
      <c r="A31" s="3"/>
      <c r="B31" s="9"/>
      <c r="C31" s="64"/>
      <c r="D31" s="64"/>
      <c r="E31" s="49"/>
      <c r="F31" s="64"/>
      <c r="G31" s="64"/>
      <c r="H31" s="64"/>
      <c r="I31" s="64"/>
      <c r="J31" s="9"/>
      <c r="K31" s="64"/>
      <c r="L31" s="64"/>
      <c r="M31" s="49"/>
      <c r="N31" s="64"/>
      <c r="O31" s="64"/>
      <c r="P31" s="64"/>
      <c r="Q31" s="64"/>
      <c r="R31" s="9"/>
      <c r="S31" s="64"/>
      <c r="T31" s="64"/>
      <c r="U31" s="49"/>
      <c r="V31" s="64"/>
      <c r="W31" s="64"/>
      <c r="X31" s="64"/>
      <c r="Y31" s="64"/>
      <c r="Z31" s="9"/>
      <c r="AA31" s="64"/>
      <c r="AB31" s="64"/>
      <c r="AC31" s="64"/>
      <c r="AD31" s="9"/>
      <c r="AE31" s="64"/>
      <c r="AF31" s="64"/>
      <c r="AG31" s="49"/>
      <c r="AH31" s="64"/>
      <c r="AI31" s="64"/>
      <c r="AJ31" s="64"/>
      <c r="AK31" s="64"/>
      <c r="AL31" s="9"/>
      <c r="AM31" s="64"/>
      <c r="AN31" s="64"/>
      <c r="AO31" s="49"/>
      <c r="AP31" s="36"/>
      <c r="AQ31" s="36"/>
      <c r="AR31" s="36"/>
      <c r="AS31" s="36"/>
      <c r="AT31" s="65"/>
      <c r="AU31" s="33"/>
      <c r="AV31" s="1"/>
      <c r="AW31" s="1"/>
    </row>
    <row r="32" spans="1:49" x14ac:dyDescent="0.3">
      <c r="A32" s="4"/>
      <c r="B32" s="38"/>
      <c r="C32" s="66"/>
      <c r="D32" s="66"/>
      <c r="E32" s="67"/>
      <c r="F32" s="66"/>
      <c r="G32" s="66"/>
      <c r="H32" s="66"/>
      <c r="I32" s="66"/>
      <c r="J32" s="38"/>
      <c r="K32" s="66"/>
      <c r="L32" s="66"/>
      <c r="M32" s="67"/>
      <c r="N32" s="66"/>
      <c r="O32" s="66"/>
      <c r="P32" s="66"/>
      <c r="Q32" s="66"/>
      <c r="R32" s="38"/>
      <c r="S32" s="66"/>
      <c r="T32" s="66"/>
      <c r="U32" s="67"/>
      <c r="V32" s="66"/>
      <c r="W32" s="66"/>
      <c r="X32" s="66"/>
      <c r="Y32" s="66"/>
      <c r="Z32" s="38"/>
      <c r="AA32" s="66"/>
      <c r="AB32" s="66"/>
      <c r="AC32" s="66"/>
      <c r="AD32" s="38"/>
      <c r="AE32" s="66"/>
      <c r="AF32" s="66"/>
      <c r="AG32" s="67"/>
      <c r="AH32" s="66"/>
      <c r="AI32" s="66"/>
      <c r="AJ32" s="66"/>
      <c r="AK32" s="66"/>
      <c r="AL32" s="38"/>
      <c r="AM32" s="66"/>
      <c r="AN32" s="66"/>
      <c r="AO32" s="67"/>
      <c r="AP32" s="62"/>
      <c r="AQ32" s="62"/>
      <c r="AR32" s="62"/>
      <c r="AS32" s="62"/>
      <c r="AT32" s="31"/>
      <c r="AU32" s="32"/>
      <c r="AV32" s="63"/>
      <c r="AW32" s="63"/>
    </row>
    <row r="33" spans="1:49" x14ac:dyDescent="0.3">
      <c r="A33" s="3"/>
      <c r="B33" s="9"/>
      <c r="C33" s="64"/>
      <c r="D33" s="64"/>
      <c r="E33" s="49"/>
      <c r="F33" s="64"/>
      <c r="G33" s="64"/>
      <c r="H33" s="64"/>
      <c r="I33" s="64"/>
      <c r="J33" s="9"/>
      <c r="K33" s="64"/>
      <c r="L33" s="64"/>
      <c r="M33" s="49"/>
      <c r="N33" s="64"/>
      <c r="O33" s="64"/>
      <c r="P33" s="64"/>
      <c r="Q33" s="64"/>
      <c r="R33" s="9"/>
      <c r="S33" s="64"/>
      <c r="T33" s="64"/>
      <c r="U33" s="49"/>
      <c r="V33" s="64"/>
      <c r="W33" s="64"/>
      <c r="X33" s="64"/>
      <c r="Y33" s="64"/>
      <c r="Z33" s="9"/>
      <c r="AA33" s="64"/>
      <c r="AB33" s="64"/>
      <c r="AC33" s="64"/>
      <c r="AD33" s="9"/>
      <c r="AE33" s="64"/>
      <c r="AF33" s="64"/>
      <c r="AG33" s="49"/>
      <c r="AH33" s="64"/>
      <c r="AI33" s="64"/>
      <c r="AJ33" s="64"/>
      <c r="AK33" s="64"/>
      <c r="AL33" s="9"/>
      <c r="AM33" s="64"/>
      <c r="AN33" s="64"/>
      <c r="AO33" s="49"/>
      <c r="AP33" s="36"/>
      <c r="AQ33" s="36"/>
      <c r="AR33" s="36"/>
      <c r="AS33" s="36"/>
      <c r="AT33" s="65"/>
      <c r="AU33" s="33"/>
      <c r="AV33" s="1"/>
      <c r="AW33" s="1"/>
    </row>
    <row r="34" spans="1:49" x14ac:dyDescent="0.3">
      <c r="A34" s="4"/>
      <c r="B34" s="38"/>
      <c r="C34" s="66"/>
      <c r="D34" s="66"/>
      <c r="E34" s="67"/>
      <c r="F34" s="66"/>
      <c r="G34" s="66"/>
      <c r="H34" s="66"/>
      <c r="I34" s="66"/>
      <c r="J34" s="38"/>
      <c r="K34" s="66"/>
      <c r="L34" s="66"/>
      <c r="M34" s="67"/>
      <c r="N34" s="66"/>
      <c r="O34" s="66"/>
      <c r="P34" s="66"/>
      <c r="Q34" s="66"/>
      <c r="R34" s="38"/>
      <c r="S34" s="66"/>
      <c r="T34" s="66"/>
      <c r="U34" s="67"/>
      <c r="V34" s="66"/>
      <c r="W34" s="66"/>
      <c r="X34" s="66"/>
      <c r="Y34" s="66"/>
      <c r="Z34" s="38"/>
      <c r="AA34" s="66"/>
      <c r="AB34" s="66"/>
      <c r="AC34" s="66"/>
      <c r="AD34" s="38"/>
      <c r="AE34" s="66"/>
      <c r="AF34" s="66"/>
      <c r="AG34" s="67"/>
      <c r="AH34" s="66"/>
      <c r="AI34" s="66"/>
      <c r="AJ34" s="66"/>
      <c r="AK34" s="66"/>
      <c r="AL34" s="38"/>
      <c r="AM34" s="66"/>
      <c r="AN34" s="66"/>
      <c r="AO34" s="67"/>
      <c r="AP34" s="62"/>
      <c r="AQ34" s="62"/>
      <c r="AR34" s="62"/>
      <c r="AS34" s="62"/>
      <c r="AT34" s="31"/>
      <c r="AU34" s="32"/>
      <c r="AV34" s="63"/>
      <c r="AW34" s="63"/>
    </row>
    <row r="35" spans="1:49" x14ac:dyDescent="0.3">
      <c r="A35" s="3"/>
      <c r="B35" s="9"/>
      <c r="C35" s="64"/>
      <c r="D35" s="64"/>
      <c r="E35" s="49"/>
      <c r="F35" s="64"/>
      <c r="G35" s="64"/>
      <c r="H35" s="64"/>
      <c r="I35" s="64"/>
      <c r="J35" s="9"/>
      <c r="K35" s="64"/>
      <c r="L35" s="64"/>
      <c r="M35" s="49"/>
      <c r="N35" s="64"/>
      <c r="O35" s="64"/>
      <c r="P35" s="64"/>
      <c r="Q35" s="64"/>
      <c r="R35" s="9"/>
      <c r="S35" s="64"/>
      <c r="T35" s="64"/>
      <c r="U35" s="49"/>
      <c r="V35" s="64"/>
      <c r="W35" s="64"/>
      <c r="X35" s="64"/>
      <c r="Y35" s="64"/>
      <c r="Z35" s="9"/>
      <c r="AA35" s="64"/>
      <c r="AB35" s="64"/>
      <c r="AC35" s="64"/>
      <c r="AD35" s="9"/>
      <c r="AE35" s="64"/>
      <c r="AF35" s="64"/>
      <c r="AG35" s="49"/>
      <c r="AH35" s="64"/>
      <c r="AI35" s="64"/>
      <c r="AJ35" s="64"/>
      <c r="AK35" s="64"/>
      <c r="AL35" s="9"/>
      <c r="AM35" s="64"/>
      <c r="AN35" s="64"/>
      <c r="AO35" s="49"/>
      <c r="AP35" s="36"/>
      <c r="AQ35" s="36"/>
      <c r="AR35" s="36"/>
      <c r="AS35" s="36"/>
      <c r="AT35" s="65"/>
      <c r="AU35" s="33"/>
      <c r="AV35" s="1"/>
      <c r="AW35" s="1"/>
    </row>
    <row r="36" spans="1:49" x14ac:dyDescent="0.3">
      <c r="A36" s="4"/>
      <c r="B36" s="38"/>
      <c r="C36" s="66"/>
      <c r="D36" s="66"/>
      <c r="E36" s="67"/>
      <c r="F36" s="66"/>
      <c r="G36" s="66"/>
      <c r="H36" s="66"/>
      <c r="I36" s="66"/>
      <c r="J36" s="38"/>
      <c r="K36" s="66"/>
      <c r="L36" s="66"/>
      <c r="M36" s="67"/>
      <c r="N36" s="66"/>
      <c r="O36" s="66"/>
      <c r="P36" s="66"/>
      <c r="Q36" s="66"/>
      <c r="R36" s="38"/>
      <c r="S36" s="66"/>
      <c r="T36" s="66"/>
      <c r="U36" s="67"/>
      <c r="V36" s="66"/>
      <c r="W36" s="66"/>
      <c r="X36" s="66"/>
      <c r="Y36" s="66"/>
      <c r="Z36" s="38"/>
      <c r="AA36" s="66"/>
      <c r="AB36" s="66"/>
      <c r="AC36" s="66"/>
      <c r="AD36" s="38"/>
      <c r="AE36" s="66"/>
      <c r="AF36" s="66"/>
      <c r="AG36" s="67"/>
      <c r="AH36" s="66"/>
      <c r="AI36" s="66"/>
      <c r="AJ36" s="66"/>
      <c r="AK36" s="66"/>
      <c r="AL36" s="38"/>
      <c r="AM36" s="66"/>
      <c r="AN36" s="66"/>
      <c r="AO36" s="67"/>
      <c r="AP36" s="62"/>
      <c r="AQ36" s="62"/>
      <c r="AR36" s="62"/>
      <c r="AS36" s="62"/>
      <c r="AT36" s="31"/>
      <c r="AU36" s="32"/>
      <c r="AV36" s="63"/>
      <c r="AW36" s="63"/>
    </row>
    <row r="37" spans="1:49" x14ac:dyDescent="0.3">
      <c r="A37" s="3"/>
      <c r="B37" s="9"/>
      <c r="C37" s="64"/>
      <c r="D37" s="64"/>
      <c r="E37" s="49"/>
      <c r="F37" s="64"/>
      <c r="G37" s="64"/>
      <c r="H37" s="64"/>
      <c r="I37" s="64"/>
      <c r="J37" s="9"/>
      <c r="K37" s="64"/>
      <c r="L37" s="64"/>
      <c r="M37" s="49"/>
      <c r="N37" s="64"/>
      <c r="O37" s="64"/>
      <c r="P37" s="64"/>
      <c r="Q37" s="64"/>
      <c r="R37" s="9"/>
      <c r="S37" s="64"/>
      <c r="T37" s="64"/>
      <c r="U37" s="49"/>
      <c r="V37" s="64"/>
      <c r="W37" s="64"/>
      <c r="X37" s="64"/>
      <c r="Y37" s="64"/>
      <c r="Z37" s="9"/>
      <c r="AA37" s="64"/>
      <c r="AB37" s="64"/>
      <c r="AC37" s="64"/>
      <c r="AD37" s="9"/>
      <c r="AE37" s="64"/>
      <c r="AF37" s="64"/>
      <c r="AG37" s="49"/>
      <c r="AH37" s="64"/>
      <c r="AI37" s="64"/>
      <c r="AJ37" s="64"/>
      <c r="AK37" s="64"/>
      <c r="AL37" s="9"/>
      <c r="AM37" s="64"/>
      <c r="AN37" s="64"/>
      <c r="AO37" s="49"/>
      <c r="AP37" s="36"/>
      <c r="AQ37" s="36"/>
      <c r="AR37" s="36"/>
      <c r="AS37" s="36"/>
      <c r="AT37" s="65"/>
      <c r="AU37" s="33"/>
      <c r="AV37" s="1"/>
      <c r="AW37" s="1"/>
    </row>
    <row r="38" spans="1:49" x14ac:dyDescent="0.3">
      <c r="A38" s="4"/>
      <c r="B38" s="38"/>
      <c r="C38" s="66"/>
      <c r="D38" s="66"/>
      <c r="E38" s="67"/>
      <c r="F38" s="66"/>
      <c r="G38" s="66"/>
      <c r="H38" s="66"/>
      <c r="I38" s="66"/>
      <c r="J38" s="38"/>
      <c r="K38" s="66"/>
      <c r="L38" s="66"/>
      <c r="M38" s="67"/>
      <c r="N38" s="66"/>
      <c r="O38" s="66"/>
      <c r="P38" s="66"/>
      <c r="Q38" s="66"/>
      <c r="R38" s="38"/>
      <c r="S38" s="66"/>
      <c r="T38" s="66"/>
      <c r="U38" s="67"/>
      <c r="V38" s="66"/>
      <c r="W38" s="66"/>
      <c r="X38" s="66"/>
      <c r="Y38" s="66"/>
      <c r="Z38" s="38"/>
      <c r="AA38" s="66"/>
      <c r="AB38" s="66"/>
      <c r="AC38" s="66"/>
      <c r="AD38" s="38"/>
      <c r="AE38" s="66"/>
      <c r="AF38" s="66"/>
      <c r="AG38" s="67"/>
      <c r="AH38" s="66"/>
      <c r="AI38" s="66"/>
      <c r="AJ38" s="66"/>
      <c r="AK38" s="66"/>
      <c r="AL38" s="38"/>
      <c r="AM38" s="66"/>
      <c r="AN38" s="66"/>
      <c r="AO38" s="67"/>
      <c r="AP38" s="62"/>
      <c r="AQ38" s="62"/>
      <c r="AR38" s="62"/>
      <c r="AS38" s="62"/>
      <c r="AT38" s="31"/>
      <c r="AU38" s="32"/>
      <c r="AV38" s="63"/>
      <c r="AW38" s="63"/>
    </row>
    <row r="39" spans="1:49" x14ac:dyDescent="0.3">
      <c r="A39" s="3"/>
      <c r="B39" s="9"/>
      <c r="C39" s="64"/>
      <c r="D39" s="64"/>
      <c r="E39" s="49"/>
      <c r="F39" s="64"/>
      <c r="G39" s="64"/>
      <c r="H39" s="64"/>
      <c r="I39" s="64"/>
      <c r="J39" s="9"/>
      <c r="K39" s="64"/>
      <c r="L39" s="64"/>
      <c r="M39" s="49"/>
      <c r="N39" s="64"/>
      <c r="O39" s="64"/>
      <c r="P39" s="64"/>
      <c r="Q39" s="64"/>
      <c r="R39" s="9"/>
      <c r="S39" s="64"/>
      <c r="T39" s="64"/>
      <c r="U39" s="49"/>
      <c r="V39" s="64"/>
      <c r="W39" s="64"/>
      <c r="X39" s="64"/>
      <c r="Y39" s="64"/>
      <c r="Z39" s="9"/>
      <c r="AA39" s="64"/>
      <c r="AB39" s="64"/>
      <c r="AC39" s="64"/>
      <c r="AD39" s="9"/>
      <c r="AE39" s="64"/>
      <c r="AF39" s="64"/>
      <c r="AG39" s="49"/>
      <c r="AH39" s="64"/>
      <c r="AI39" s="64"/>
      <c r="AJ39" s="64"/>
      <c r="AK39" s="64"/>
      <c r="AL39" s="9"/>
      <c r="AM39" s="64"/>
      <c r="AN39" s="64"/>
      <c r="AO39" s="49"/>
      <c r="AP39" s="36"/>
      <c r="AQ39" s="36"/>
      <c r="AR39" s="36"/>
      <c r="AS39" s="36"/>
      <c r="AT39" s="65"/>
      <c r="AU39" s="33"/>
      <c r="AV39" s="1"/>
      <c r="AW39" s="1"/>
    </row>
    <row r="40" spans="1:49" x14ac:dyDescent="0.3">
      <c r="A40" s="4"/>
      <c r="B40" s="38"/>
      <c r="C40" s="66"/>
      <c r="D40" s="66"/>
      <c r="E40" s="67"/>
      <c r="F40" s="66"/>
      <c r="G40" s="66"/>
      <c r="H40" s="66"/>
      <c r="I40" s="66"/>
      <c r="J40" s="38"/>
      <c r="K40" s="66"/>
      <c r="L40" s="66"/>
      <c r="M40" s="67"/>
      <c r="N40" s="66"/>
      <c r="O40" s="66"/>
      <c r="P40" s="66"/>
      <c r="Q40" s="66"/>
      <c r="R40" s="38"/>
      <c r="S40" s="66"/>
      <c r="T40" s="66"/>
      <c r="U40" s="67"/>
      <c r="V40" s="66"/>
      <c r="W40" s="66"/>
      <c r="X40" s="66"/>
      <c r="Y40" s="66"/>
      <c r="Z40" s="38"/>
      <c r="AA40" s="66"/>
      <c r="AB40" s="66"/>
      <c r="AC40" s="66"/>
      <c r="AD40" s="38"/>
      <c r="AE40" s="66"/>
      <c r="AF40" s="66"/>
      <c r="AG40" s="67"/>
      <c r="AH40" s="66"/>
      <c r="AI40" s="66"/>
      <c r="AJ40" s="66"/>
      <c r="AK40" s="66"/>
      <c r="AL40" s="38"/>
      <c r="AM40" s="66"/>
      <c r="AN40" s="66"/>
      <c r="AO40" s="67"/>
      <c r="AP40" s="62"/>
      <c r="AQ40" s="62"/>
      <c r="AR40" s="62"/>
      <c r="AS40" s="62"/>
      <c r="AT40" s="31"/>
      <c r="AU40" s="32"/>
      <c r="AV40" s="63"/>
      <c r="AW40" s="63"/>
    </row>
    <row r="41" spans="1:49" x14ac:dyDescent="0.3">
      <c r="A41" s="3"/>
      <c r="B41" s="9"/>
      <c r="C41" s="64"/>
      <c r="D41" s="64"/>
      <c r="E41" s="49"/>
      <c r="F41" s="64"/>
      <c r="G41" s="64"/>
      <c r="H41" s="64"/>
      <c r="I41" s="64"/>
      <c r="J41" s="9"/>
      <c r="K41" s="64"/>
      <c r="L41" s="64"/>
      <c r="M41" s="49"/>
      <c r="N41" s="64"/>
      <c r="O41" s="64"/>
      <c r="P41" s="64"/>
      <c r="Q41" s="64"/>
      <c r="R41" s="9"/>
      <c r="S41" s="64"/>
      <c r="T41" s="64"/>
      <c r="U41" s="49"/>
      <c r="V41" s="64"/>
      <c r="W41" s="64"/>
      <c r="X41" s="64"/>
      <c r="Y41" s="64"/>
      <c r="Z41" s="9"/>
      <c r="AA41" s="64"/>
      <c r="AB41" s="64"/>
      <c r="AC41" s="64"/>
      <c r="AD41" s="9"/>
      <c r="AE41" s="64"/>
      <c r="AF41" s="64"/>
      <c r="AG41" s="49"/>
      <c r="AH41" s="64"/>
      <c r="AI41" s="64"/>
      <c r="AJ41" s="64"/>
      <c r="AK41" s="64"/>
      <c r="AL41" s="9"/>
      <c r="AM41" s="64"/>
      <c r="AN41" s="64"/>
      <c r="AO41" s="49"/>
      <c r="AP41" s="36"/>
      <c r="AQ41" s="36"/>
      <c r="AR41" s="36"/>
      <c r="AS41" s="36"/>
      <c r="AT41" s="65"/>
      <c r="AU41" s="33"/>
      <c r="AV41" s="1"/>
      <c r="AW41" s="1"/>
    </row>
    <row r="42" spans="1:49" x14ac:dyDescent="0.3">
      <c r="A42" s="4"/>
      <c r="B42" s="38"/>
      <c r="C42" s="66"/>
      <c r="D42" s="66"/>
      <c r="E42" s="67"/>
      <c r="F42" s="66"/>
      <c r="G42" s="66"/>
      <c r="H42" s="66"/>
      <c r="I42" s="66"/>
      <c r="J42" s="38"/>
      <c r="K42" s="66"/>
      <c r="L42" s="66"/>
      <c r="M42" s="67"/>
      <c r="N42" s="66"/>
      <c r="O42" s="66"/>
      <c r="P42" s="66"/>
      <c r="Q42" s="66"/>
      <c r="R42" s="38"/>
      <c r="S42" s="66"/>
      <c r="T42" s="66"/>
      <c r="U42" s="67"/>
      <c r="V42" s="66"/>
      <c r="W42" s="66"/>
      <c r="X42" s="66"/>
      <c r="Y42" s="66"/>
      <c r="Z42" s="38"/>
      <c r="AA42" s="66"/>
      <c r="AB42" s="66"/>
      <c r="AC42" s="66"/>
      <c r="AD42" s="38"/>
      <c r="AE42" s="66"/>
      <c r="AF42" s="66"/>
      <c r="AG42" s="67"/>
      <c r="AH42" s="66"/>
      <c r="AI42" s="66"/>
      <c r="AJ42" s="66"/>
      <c r="AK42" s="66"/>
      <c r="AL42" s="38"/>
      <c r="AM42" s="66"/>
      <c r="AN42" s="66"/>
      <c r="AO42" s="67"/>
      <c r="AP42" s="62"/>
      <c r="AQ42" s="62"/>
      <c r="AR42" s="62"/>
      <c r="AS42" s="62"/>
      <c r="AT42" s="31"/>
      <c r="AU42" s="32"/>
      <c r="AV42" s="63"/>
      <c r="AW42" s="63"/>
    </row>
    <row r="43" spans="1:49" x14ac:dyDescent="0.3">
      <c r="A43" s="37"/>
      <c r="B43" s="68"/>
      <c r="C43" s="36"/>
      <c r="D43" s="36"/>
      <c r="E43" s="69"/>
      <c r="F43" s="36"/>
      <c r="G43" s="36"/>
      <c r="H43" s="36"/>
      <c r="I43" s="36"/>
      <c r="J43" s="68"/>
      <c r="K43" s="36"/>
      <c r="L43" s="36"/>
      <c r="M43" s="69"/>
      <c r="N43" s="36"/>
      <c r="O43" s="36"/>
      <c r="P43" s="36"/>
      <c r="Q43" s="36"/>
      <c r="R43" s="68"/>
      <c r="S43" s="36"/>
      <c r="T43" s="36"/>
      <c r="U43" s="69"/>
      <c r="V43" s="36"/>
      <c r="W43" s="36"/>
      <c r="X43" s="36"/>
      <c r="Y43" s="36"/>
      <c r="Z43" s="68"/>
      <c r="AA43" s="36"/>
      <c r="AB43" s="36"/>
      <c r="AC43" s="36"/>
      <c r="AD43" s="68"/>
      <c r="AE43" s="36"/>
      <c r="AF43" s="36"/>
      <c r="AG43" s="69"/>
      <c r="AH43" s="36"/>
      <c r="AI43" s="36"/>
      <c r="AJ43" s="36"/>
      <c r="AK43" s="36"/>
      <c r="AL43" s="9"/>
      <c r="AM43" s="64"/>
      <c r="AN43" s="64"/>
      <c r="AO43" s="49"/>
      <c r="AP43" s="36"/>
      <c r="AQ43" s="36"/>
      <c r="AR43" s="36"/>
      <c r="AS43" s="36"/>
      <c r="AT43" s="65"/>
      <c r="AU43" s="33"/>
      <c r="AV43" s="1"/>
      <c r="AW43" s="1"/>
    </row>
    <row r="44" spans="1:49" x14ac:dyDescent="0.3">
      <c r="A44" s="38"/>
      <c r="B44" s="38"/>
      <c r="C44" s="66"/>
      <c r="D44" s="66"/>
      <c r="E44" s="66"/>
      <c r="F44" s="38"/>
      <c r="G44" s="66"/>
      <c r="H44" s="66"/>
      <c r="I44" s="67"/>
      <c r="J44" s="66"/>
      <c r="K44" s="66"/>
      <c r="L44" s="66"/>
      <c r="M44" s="66"/>
      <c r="N44" s="38"/>
      <c r="O44" s="66"/>
      <c r="P44" s="66"/>
      <c r="Q44" s="67"/>
      <c r="R44" s="66"/>
      <c r="S44" s="66"/>
      <c r="T44" s="66"/>
      <c r="U44" s="67"/>
      <c r="V44" s="38"/>
      <c r="W44" s="66"/>
      <c r="X44" s="66"/>
      <c r="Y44" s="66"/>
      <c r="Z44" s="38"/>
      <c r="AA44" s="66"/>
      <c r="AB44" s="66"/>
      <c r="AC44" s="66"/>
      <c r="AD44" s="38"/>
      <c r="AE44" s="66"/>
      <c r="AF44" s="66"/>
      <c r="AG44" s="67"/>
      <c r="AH44" s="66"/>
      <c r="AI44" s="66"/>
      <c r="AJ44" s="66"/>
      <c r="AK44" s="66"/>
      <c r="AL44" s="38"/>
      <c r="AM44" s="66"/>
      <c r="AN44" s="66"/>
      <c r="AO44" s="67"/>
      <c r="AP44" s="62"/>
      <c r="AQ44" s="62"/>
      <c r="AR44" s="62"/>
      <c r="AS44" s="62"/>
      <c r="AT44" s="31"/>
      <c r="AU44" s="32"/>
      <c r="AV44" s="63"/>
      <c r="AW44" s="63"/>
    </row>
    <row r="45" spans="1:49" x14ac:dyDescent="0.3">
      <c r="A45" s="9"/>
      <c r="B45" s="9"/>
      <c r="C45" s="64"/>
      <c r="D45" s="64"/>
      <c r="E45" s="64"/>
      <c r="F45" s="9"/>
      <c r="G45" s="64"/>
      <c r="H45" s="64"/>
      <c r="I45" s="49"/>
      <c r="J45" s="64"/>
      <c r="K45" s="64"/>
      <c r="L45" s="64"/>
      <c r="M45" s="64"/>
      <c r="N45" s="9"/>
      <c r="O45" s="64"/>
      <c r="P45" s="64"/>
      <c r="Q45" s="49"/>
      <c r="R45" s="64"/>
      <c r="S45" s="64"/>
      <c r="T45" s="64"/>
      <c r="U45" s="49"/>
      <c r="V45" s="9"/>
      <c r="W45" s="64"/>
      <c r="X45" s="64"/>
      <c r="Y45" s="64"/>
      <c r="Z45" s="9"/>
      <c r="AA45" s="64"/>
      <c r="AB45" s="64"/>
      <c r="AC45" s="64"/>
      <c r="AD45" s="9"/>
      <c r="AE45" s="64"/>
      <c r="AF45" s="64"/>
      <c r="AG45" s="49"/>
      <c r="AH45" s="64"/>
      <c r="AI45" s="64"/>
      <c r="AJ45" s="64"/>
      <c r="AK45" s="64"/>
      <c r="AL45" s="9"/>
      <c r="AM45" s="64"/>
      <c r="AN45" s="64"/>
      <c r="AO45" s="49"/>
      <c r="AP45" s="36"/>
      <c r="AQ45" s="36"/>
      <c r="AR45" s="36"/>
      <c r="AS45" s="36"/>
      <c r="AT45" s="65"/>
      <c r="AU45" s="33"/>
      <c r="AV45" s="1"/>
      <c r="AW45" s="1"/>
    </row>
    <row r="46" spans="1:49" x14ac:dyDescent="0.3">
      <c r="A46" s="38"/>
      <c r="B46" s="38"/>
      <c r="C46" s="66"/>
      <c r="D46" s="66"/>
      <c r="E46" s="66"/>
      <c r="F46" s="38"/>
      <c r="G46" s="66"/>
      <c r="H46" s="66"/>
      <c r="I46" s="67"/>
      <c r="J46" s="66"/>
      <c r="K46" s="66"/>
      <c r="L46" s="66"/>
      <c r="M46" s="66"/>
      <c r="N46" s="38"/>
      <c r="O46" s="66"/>
      <c r="P46" s="66"/>
      <c r="Q46" s="67"/>
      <c r="R46" s="66"/>
      <c r="S46" s="66"/>
      <c r="T46" s="66"/>
      <c r="U46" s="67"/>
      <c r="V46" s="38"/>
      <c r="W46" s="66"/>
      <c r="X46" s="66"/>
      <c r="Y46" s="66"/>
      <c r="Z46" s="38"/>
      <c r="AA46" s="66"/>
      <c r="AB46" s="66"/>
      <c r="AC46" s="66"/>
      <c r="AD46" s="38"/>
      <c r="AE46" s="66"/>
      <c r="AF46" s="66"/>
      <c r="AG46" s="67"/>
      <c r="AH46" s="66"/>
      <c r="AI46" s="66"/>
      <c r="AJ46" s="66"/>
      <c r="AK46" s="66"/>
      <c r="AL46" s="38"/>
      <c r="AM46" s="66"/>
      <c r="AN46" s="66"/>
      <c r="AO46" s="67"/>
      <c r="AP46" s="62"/>
      <c r="AQ46" s="62"/>
      <c r="AR46" s="62"/>
      <c r="AS46" s="62"/>
      <c r="AT46" s="31"/>
      <c r="AU46" s="32"/>
      <c r="AV46" s="63"/>
      <c r="AW46" s="63"/>
    </row>
    <row r="47" spans="1:49" x14ac:dyDescent="0.3">
      <c r="A47" s="9"/>
      <c r="B47" s="9"/>
      <c r="C47" s="64"/>
      <c r="D47" s="64"/>
      <c r="E47" s="64"/>
      <c r="F47" s="9"/>
      <c r="G47" s="64"/>
      <c r="H47" s="64"/>
      <c r="I47" s="49"/>
      <c r="J47" s="64"/>
      <c r="K47" s="64"/>
      <c r="L47" s="64"/>
      <c r="M47" s="64"/>
      <c r="N47" s="9"/>
      <c r="O47" s="64"/>
      <c r="P47" s="64"/>
      <c r="Q47" s="49"/>
      <c r="R47" s="64"/>
      <c r="S47" s="64"/>
      <c r="T47" s="64"/>
      <c r="U47" s="49"/>
      <c r="V47" s="9"/>
      <c r="W47" s="64"/>
      <c r="X47" s="64"/>
      <c r="Y47" s="64"/>
      <c r="Z47" s="9"/>
      <c r="AA47" s="64"/>
      <c r="AB47" s="64"/>
      <c r="AC47" s="64"/>
      <c r="AD47" s="9"/>
      <c r="AE47" s="64"/>
      <c r="AF47" s="64"/>
      <c r="AG47" s="49"/>
      <c r="AH47" s="64"/>
      <c r="AI47" s="64"/>
      <c r="AJ47" s="64"/>
      <c r="AK47" s="64"/>
      <c r="AL47" s="9"/>
      <c r="AM47" s="64"/>
      <c r="AN47" s="64"/>
      <c r="AO47" s="49"/>
      <c r="AP47" s="36"/>
      <c r="AQ47" s="36"/>
      <c r="AR47" s="36"/>
      <c r="AS47" s="36"/>
      <c r="AT47" s="65"/>
      <c r="AU47" s="33"/>
      <c r="AV47" s="1"/>
      <c r="AW47" s="1"/>
    </row>
    <row r="48" spans="1:49" x14ac:dyDescent="0.3">
      <c r="A48" s="38"/>
      <c r="B48" s="38"/>
      <c r="C48" s="66"/>
      <c r="D48" s="66"/>
      <c r="E48" s="66"/>
      <c r="F48" s="38"/>
      <c r="G48" s="66"/>
      <c r="H48" s="66"/>
      <c r="I48" s="67"/>
      <c r="J48" s="66"/>
      <c r="K48" s="66"/>
      <c r="L48" s="66"/>
      <c r="M48" s="66"/>
      <c r="N48" s="38"/>
      <c r="O48" s="66"/>
      <c r="P48" s="66"/>
      <c r="Q48" s="67"/>
      <c r="R48" s="66"/>
      <c r="S48" s="66"/>
      <c r="T48" s="66"/>
      <c r="U48" s="67"/>
      <c r="V48" s="38"/>
      <c r="W48" s="66"/>
      <c r="X48" s="66"/>
      <c r="Y48" s="66"/>
      <c r="Z48" s="38"/>
      <c r="AA48" s="66"/>
      <c r="AB48" s="66"/>
      <c r="AC48" s="66"/>
      <c r="AD48" s="38"/>
      <c r="AE48" s="66"/>
      <c r="AF48" s="66"/>
      <c r="AG48" s="67"/>
      <c r="AH48" s="66"/>
      <c r="AI48" s="66"/>
      <c r="AJ48" s="66"/>
      <c r="AK48" s="66"/>
      <c r="AL48" s="38"/>
      <c r="AM48" s="66"/>
      <c r="AN48" s="66"/>
      <c r="AO48" s="67"/>
      <c r="AP48" s="62"/>
      <c r="AQ48" s="62"/>
      <c r="AR48" s="62"/>
      <c r="AS48" s="62"/>
      <c r="AT48" s="31"/>
      <c r="AU48" s="32"/>
      <c r="AV48" s="63"/>
      <c r="AW48" s="63"/>
    </row>
    <row r="49" spans="1:49" x14ac:dyDescent="0.3">
      <c r="A49" s="9"/>
      <c r="B49" s="9"/>
      <c r="C49" s="64"/>
      <c r="D49" s="64"/>
      <c r="E49" s="64"/>
      <c r="F49" s="9"/>
      <c r="G49" s="64"/>
      <c r="H49" s="64"/>
      <c r="I49" s="49"/>
      <c r="J49" s="64"/>
      <c r="K49" s="64"/>
      <c r="L49" s="64"/>
      <c r="M49" s="64"/>
      <c r="N49" s="9"/>
      <c r="O49" s="64"/>
      <c r="P49" s="64"/>
      <c r="Q49" s="49"/>
      <c r="R49" s="64"/>
      <c r="S49" s="64"/>
      <c r="T49" s="64"/>
      <c r="U49" s="49"/>
      <c r="V49" s="9"/>
      <c r="W49" s="64"/>
      <c r="X49" s="64"/>
      <c r="Y49" s="64"/>
      <c r="Z49" s="9"/>
      <c r="AA49" s="64"/>
      <c r="AB49" s="64"/>
      <c r="AC49" s="64"/>
      <c r="AD49" s="9"/>
      <c r="AE49" s="64"/>
      <c r="AF49" s="64"/>
      <c r="AG49" s="49"/>
      <c r="AH49" s="64"/>
      <c r="AI49" s="64"/>
      <c r="AJ49" s="64"/>
      <c r="AK49" s="64"/>
      <c r="AL49" s="9"/>
      <c r="AM49" s="64"/>
      <c r="AN49" s="64"/>
      <c r="AO49" s="49"/>
      <c r="AP49" s="36"/>
      <c r="AQ49" s="36"/>
      <c r="AR49" s="36"/>
      <c r="AS49" s="36"/>
      <c r="AT49" s="65"/>
      <c r="AU49" s="33"/>
      <c r="AV49" s="1"/>
      <c r="AW49" s="1"/>
    </row>
    <row r="50" spans="1:49" ht="21" thickBot="1" x14ac:dyDescent="0.35">
      <c r="A50" s="39"/>
      <c r="B50" s="39"/>
      <c r="C50" s="70"/>
      <c r="D50" s="70"/>
      <c r="E50" s="70"/>
      <c r="F50" s="39"/>
      <c r="G50" s="70"/>
      <c r="H50" s="70"/>
      <c r="I50" s="71"/>
      <c r="J50" s="70"/>
      <c r="K50" s="70"/>
      <c r="L50" s="70"/>
      <c r="M50" s="70"/>
      <c r="N50" s="39"/>
      <c r="O50" s="70"/>
      <c r="P50" s="70"/>
      <c r="Q50" s="71"/>
      <c r="R50" s="70"/>
      <c r="S50" s="70"/>
      <c r="T50" s="70"/>
      <c r="U50" s="71"/>
      <c r="V50" s="39"/>
      <c r="W50" s="70"/>
      <c r="X50" s="70"/>
      <c r="Y50" s="70"/>
      <c r="Z50" s="39"/>
      <c r="AA50" s="70"/>
      <c r="AB50" s="70"/>
      <c r="AC50" s="70"/>
      <c r="AD50" s="39"/>
      <c r="AE50" s="70"/>
      <c r="AF50" s="70"/>
      <c r="AG50" s="71"/>
      <c r="AH50" s="70"/>
      <c r="AI50" s="70"/>
      <c r="AJ50" s="70"/>
      <c r="AK50" s="70"/>
      <c r="AL50" s="39"/>
      <c r="AM50" s="70"/>
      <c r="AN50" s="70"/>
      <c r="AO50" s="71"/>
      <c r="AP50" s="62"/>
      <c r="AQ50" s="62"/>
      <c r="AR50" s="62"/>
      <c r="AS50" s="62"/>
      <c r="AT50" s="31"/>
      <c r="AU50" s="32"/>
      <c r="AV50" s="63"/>
      <c r="AW50" s="63"/>
    </row>
  </sheetData>
  <sheetProtection formatCells="0" formatColumns="0" formatRows="0" insertColumns="0" insertRows="0" insertHyperlinks="0" deleteColumns="0" deleteRows="0" sort="0" autoFilter="0" pivotTables="0"/>
  <dataConsolidate/>
  <mergeCells count="12">
    <mergeCell ref="AL3:AO3"/>
    <mergeCell ref="AP3:AS3"/>
    <mergeCell ref="AP2:AV2"/>
    <mergeCell ref="B3:E3"/>
    <mergeCell ref="F3:I3"/>
    <mergeCell ref="J3:M3"/>
    <mergeCell ref="N3:Q3"/>
    <mergeCell ref="R3:U3"/>
    <mergeCell ref="V3:Y3"/>
    <mergeCell ref="Z3:AC3"/>
    <mergeCell ref="AD3:AG3"/>
    <mergeCell ref="AH3:AK3"/>
  </mergeCells>
  <phoneticPr fontId="3"/>
  <conditionalFormatting sqref="A10:AW50 R4:AW9">
    <cfRule type="expression" dxfId="2" priority="2">
      <formula>CELL("ROW")=ROW()</formula>
    </cfRule>
  </conditionalFormatting>
  <conditionalFormatting sqref="A4:Q9">
    <cfRule type="expression" dxfId="1" priority="1">
      <formula>CELL("ROW")=ROW()</formula>
    </cfRule>
  </conditionalFormatting>
  <dataValidations count="1">
    <dataValidation showInputMessage="1" sqref="B4:U50" xr:uid="{EEAF3613-A821-E140-B77E-0FA0AF9DCC3B}"/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decision">
                <anchor moveWithCells="1">
                  <from>
                    <xdr:col>11</xdr:col>
                    <xdr:colOff>38100</xdr:colOff>
                    <xdr:row>0</xdr:row>
                    <xdr:rowOff>63500</xdr:rowOff>
                  </from>
                  <to>
                    <xdr:col>13</xdr:col>
                    <xdr:colOff>317500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autoFill="0" autoPict="0" macro="[0]!Confirmation">
                <anchor moveWithCells="1" sizeWithCells="1">
                  <from>
                    <xdr:col>16</xdr:col>
                    <xdr:colOff>342900</xdr:colOff>
                    <xdr:row>0</xdr:row>
                    <xdr:rowOff>101600</xdr:rowOff>
                  </from>
                  <to>
                    <xdr:col>21</xdr:col>
                    <xdr:colOff>241300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xr:uid="{86D00EC8-CDA7-2E46-9043-5D4245A118F3}">
          <x14:formula1>
            <xm:f>データ!$O$3:$O$5</xm:f>
          </x14:formula1>
          <xm:sqref>V4:AO50</xm:sqref>
        </x14:dataValidation>
        <x14:dataValidation type="list" showInputMessage="1" showErrorMessage="1" xr:uid="{3DF246B3-8522-AB45-8700-5E6E27805C21}">
          <x14:formula1>
            <xm:f>データ!$B$3:$B$55</xm:f>
          </x14:formula1>
          <xm:sqref>A4:A50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 tint="-0.249977111117893"/>
  </sheetPr>
  <dimension ref="A2:AB55"/>
  <sheetViews>
    <sheetView showRuler="0" zoomScale="121" zoomScaleNormal="121" workbookViewId="0">
      <pane ySplit="3" topLeftCell="A4" activePane="bottomLeft" state="frozenSplit"/>
      <selection pane="bottomLeft" activeCell="T55" sqref="T55"/>
    </sheetView>
  </sheetViews>
  <sheetFormatPr baseColWidth="10" defaultColWidth="12.85546875" defaultRowHeight="20" x14ac:dyDescent="0.3"/>
  <cols>
    <col min="1" max="1" width="14.140625" style="1" customWidth="1"/>
    <col min="2" max="2" width="10.140625" style="10" customWidth="1"/>
    <col min="3" max="5" width="8.140625" style="1" customWidth="1"/>
    <col min="6" max="10" width="7.5703125" style="1" customWidth="1"/>
    <col min="11" max="11" width="12.85546875" style="1"/>
    <col min="12" max="12" width="4.7109375" style="103" customWidth="1"/>
    <col min="13" max="13" width="4.7109375" style="97" customWidth="1"/>
    <col min="14" max="14" width="12.85546875" style="1"/>
    <col min="15" max="15" width="12.85546875" style="33"/>
    <col min="16" max="16" width="5.7109375" style="103" customWidth="1"/>
    <col min="17" max="17" width="2.85546875" style="97" customWidth="1"/>
    <col min="18" max="18" width="6.85546875" style="43" customWidth="1"/>
    <col min="19" max="19" width="4.7109375" style="1" customWidth="1"/>
    <col min="20" max="20" width="6" style="1" customWidth="1"/>
    <col min="21" max="21" width="5.5703125" style="1" customWidth="1"/>
    <col min="22" max="22" width="8.140625" style="20" customWidth="1"/>
    <col min="23" max="23" width="13" style="1" customWidth="1"/>
    <col min="24" max="26" width="3.28515625" style="1" customWidth="1"/>
    <col min="27" max="27" width="12.28515625" style="1" customWidth="1"/>
    <col min="28" max="28" width="8.42578125" style="1" customWidth="1"/>
    <col min="29" max="16384" width="12.85546875" style="1"/>
  </cols>
  <sheetData>
    <row r="2" spans="1:28" ht="29.25" customHeight="1" thickBot="1" x14ac:dyDescent="0.35">
      <c r="B2" s="89" t="s">
        <v>45</v>
      </c>
      <c r="C2" s="8" t="s">
        <v>42</v>
      </c>
      <c r="E2" s="42"/>
      <c r="F2" s="87"/>
      <c r="G2" s="41"/>
      <c r="H2" s="88"/>
      <c r="V2" s="72"/>
    </row>
    <row r="3" spans="1:28" ht="21" thickBot="1" x14ac:dyDescent="0.35">
      <c r="A3" s="74" t="s">
        <v>11</v>
      </c>
      <c r="B3" s="52" t="s">
        <v>4</v>
      </c>
      <c r="C3" s="75" t="s">
        <v>10</v>
      </c>
      <c r="D3" s="74" t="s">
        <v>43</v>
      </c>
      <c r="E3" s="75"/>
      <c r="F3" s="74" t="s">
        <v>5</v>
      </c>
      <c r="G3" s="75" t="s">
        <v>6</v>
      </c>
      <c r="H3" s="74" t="s">
        <v>7</v>
      </c>
      <c r="I3" s="28" t="s">
        <v>8</v>
      </c>
      <c r="J3" s="74" t="s">
        <v>9</v>
      </c>
      <c r="L3" s="147" t="s">
        <v>15</v>
      </c>
      <c r="M3" s="148"/>
      <c r="N3" s="148"/>
      <c r="O3" s="149"/>
      <c r="P3" s="146" t="s">
        <v>56</v>
      </c>
      <c r="Q3" s="146"/>
      <c r="R3" s="51" t="s">
        <v>51</v>
      </c>
      <c r="V3" s="144" t="s">
        <v>23</v>
      </c>
      <c r="W3" s="145"/>
      <c r="X3" s="73" t="s">
        <v>52</v>
      </c>
      <c r="Y3" s="73" t="s">
        <v>66</v>
      </c>
      <c r="Z3" s="73" t="s">
        <v>53</v>
      </c>
      <c r="AA3" s="55" t="s">
        <v>55</v>
      </c>
      <c r="AB3" s="55">
        <v>4</v>
      </c>
    </row>
    <row r="4" spans="1:28" x14ac:dyDescent="0.3">
      <c r="A4" s="90" t="str">
        <f xml:space="preserve"> データ!B4</f>
        <v>aa</v>
      </c>
      <c r="B4" s="78">
        <f xml:space="preserve"> IFERROR(ROUNDUP(D4/C4,3),"")</f>
        <v>0.67400000000000004</v>
      </c>
      <c r="C4" s="38">
        <v>52</v>
      </c>
      <c r="D4" s="4">
        <v>35</v>
      </c>
      <c r="E4" s="66"/>
      <c r="F4" s="4">
        <v>6</v>
      </c>
      <c r="G4" s="66">
        <v>3</v>
      </c>
      <c r="H4" s="4"/>
      <c r="I4" s="67">
        <v>2</v>
      </c>
      <c r="J4" s="4">
        <v>2</v>
      </c>
      <c r="L4" s="153">
        <f>SMALL($V$4:V$55,ROW(A1))</f>
        <v>1</v>
      </c>
      <c r="M4" s="154" t="s">
        <v>72</v>
      </c>
      <c r="N4" s="45" t="str">
        <f>IF(L4="","",INDEX(W:W,LARGE(INDEX((V$4:V$55=L4)*ROW($4:$55),),COUNTIF(L4:L$55,L4))))</f>
        <v>o</v>
      </c>
      <c r="O4" s="46">
        <f>INDEX($A$4:$B$55,MATCH(L4,$V$4:$V$55,0),2)</f>
        <v>1</v>
      </c>
      <c r="P4" s="104">
        <f>ABS(INDEX($A$4:$B$55,MATCH(L4,$V$4:$V$55,0),2)-INDEX($W$4:$AA$55,MATCH(N4,$W$4:$W$55,0),5))</f>
        <v>1</v>
      </c>
      <c r="Q4" s="98" t="str">
        <f>IF(INDEX($A$4:$B$55,MATCH(L4,$V$4:$V$55,0),2)&gt;INDEX($W$4:$AA$55,MATCH(N4,$W$4:$W$55,0),5),"↑","") &amp; IF(INDEX($A$4:$B$55,MATCH(L4,$V$4:$V$55,0),2)=INDEX($W$4:$AA$55,MATCH(N4,$W$4:$W$55,0),5),"-","") &amp; IF(INDEX($A$4:$B$55,MATCH(L4,$V$4:$V$55,0),2)&lt;INDEX($W$4:$AA$55,MATCH(N4,$W$4:$W$55,0),5),"↓","")</f>
        <v>↑</v>
      </c>
      <c r="R4" s="50">
        <f>INDEX($W$4:$Z$55,MATCH(N4,$W$4:$W$55,0),4)/$AB$3</f>
        <v>1</v>
      </c>
      <c r="V4" s="20">
        <f t="shared" ref="V4:V52" si="0" xml:space="preserve"> IFERROR(RANK(B4,$B$4:$B$53,0)," ")</f>
        <v>7</v>
      </c>
      <c r="W4" s="1" t="str">
        <f xml:space="preserve"> データ!B4</f>
        <v>aa</v>
      </c>
      <c r="X4" s="1">
        <v>3</v>
      </c>
      <c r="Y4" s="1">
        <v>6</v>
      </c>
      <c r="Z4" s="1">
        <v>4</v>
      </c>
      <c r="AA4" s="53"/>
    </row>
    <row r="5" spans="1:28" s="42" customFormat="1" x14ac:dyDescent="0.3">
      <c r="A5" s="35" t="str">
        <f xml:space="preserve"> データ!B5</f>
        <v>b</v>
      </c>
      <c r="B5" s="81">
        <f t="shared" ref="B5:B52" si="1" xml:space="preserve"> IFERROR(ROUNDUP(D5/C5,3),"")</f>
        <v>0.68800000000000006</v>
      </c>
      <c r="C5" s="82">
        <v>64</v>
      </c>
      <c r="D5" s="35">
        <v>44</v>
      </c>
      <c r="E5" s="91"/>
      <c r="F5" s="35">
        <v>4</v>
      </c>
      <c r="G5" s="91">
        <v>8</v>
      </c>
      <c r="H5" s="35"/>
      <c r="I5" s="92">
        <v>4</v>
      </c>
      <c r="J5" s="35"/>
      <c r="L5" s="153">
        <f>SMALL($V$4:V$55,ROW(A2))</f>
        <v>1</v>
      </c>
      <c r="M5" s="155" t="s">
        <v>72</v>
      </c>
      <c r="N5" s="45" t="str">
        <f>IF(L5="","",INDEX(W:W,LARGE(INDEX((V$4:V$55=L5)*ROW($4:$55),),COUNTIF(L5:L$55,L5))))</f>
        <v>s1</v>
      </c>
      <c r="O5" s="93">
        <f t="shared" ref="O5:O49" si="2">INDEX($A$4:$B$55,MATCH(L5,$V$4:$V$55,0),2)</f>
        <v>1</v>
      </c>
      <c r="P5" s="104">
        <f t="shared" ref="P5:P49" si="3">ABS(INDEX($A$4:$B$55,MATCH(L5,$V$4:$V$55,0),2)-INDEX($W$4:$AA$55,MATCH(N5,$W$4:$W$55,0),5))</f>
        <v>1</v>
      </c>
      <c r="Q5" s="99" t="str">
        <f t="shared" ref="Q5:Q49" si="4">IF(INDEX($A$4:$B$55,MATCH(L5,$V$4:$V$55,0),2)&gt;INDEX($W$4:$AA$55,MATCH(N5,$W$4:$W$55,0),5),"↑","") &amp; IF(INDEX($A$4:$B$55,MATCH(L5,$V$4:$V$55,0),2)=INDEX($W$4:$AA$55,MATCH(N5,$W$4:$W$55,0),5),"-","") &amp; IF(INDEX($A$4:$B$55,MATCH(L5,$V$4:$V$55,0),2)&lt;INDEX($W$4:$AA$55,MATCH(N5,$W$4:$W$55,0),5),"↓","")</f>
        <v>↑</v>
      </c>
      <c r="R5" s="94">
        <f t="shared" ref="R5:R49" si="5">INDEX($W$4:$Z$55,MATCH(N5,$W$4:$W$55,0),4)/$AB$3</f>
        <v>1</v>
      </c>
      <c r="V5" s="20">
        <f t="shared" si="0"/>
        <v>6</v>
      </c>
      <c r="W5" s="1" t="str">
        <f xml:space="preserve"> データ!B5</f>
        <v>b</v>
      </c>
      <c r="X5" s="42">
        <v>8</v>
      </c>
      <c r="Y5" s="42">
        <v>4</v>
      </c>
      <c r="Z5" s="42">
        <v>4</v>
      </c>
      <c r="AA5" s="53"/>
    </row>
    <row r="6" spans="1:28" x14ac:dyDescent="0.3">
      <c r="A6" s="4" t="str">
        <f xml:space="preserve"> データ!B6</f>
        <v>c</v>
      </c>
      <c r="B6" s="78" t="str">
        <f xml:space="preserve"> IFERROR(ROUNDUP(D6/C6,3),"")</f>
        <v/>
      </c>
      <c r="C6" s="38"/>
      <c r="D6" s="4"/>
      <c r="E6" s="66"/>
      <c r="F6" s="4"/>
      <c r="G6" s="66"/>
      <c r="H6" s="4"/>
      <c r="I6" s="67"/>
      <c r="J6" s="4"/>
      <c r="L6" s="156">
        <f>SMALL($V$4:V$55,ROW(A3))</f>
        <v>3</v>
      </c>
      <c r="M6" s="157" t="s">
        <v>72</v>
      </c>
      <c r="N6" s="45" t="str">
        <f>IF(L6="","",INDEX(W:W,LARGE(INDEX((V$4:V$55=L6)*ROW($4:$55),),COUNTIF(L6:L$55,L6))))</f>
        <v>d</v>
      </c>
      <c r="O6" s="34">
        <f t="shared" si="2"/>
        <v>0.75</v>
      </c>
      <c r="P6" s="104">
        <f t="shared" si="3"/>
        <v>0.75</v>
      </c>
      <c r="Q6" s="100" t="str">
        <f t="shared" si="4"/>
        <v>↑</v>
      </c>
      <c r="R6" s="47">
        <f t="shared" si="5"/>
        <v>0.25</v>
      </c>
      <c r="V6" s="20" t="str">
        <f t="shared" si="0"/>
        <v xml:space="preserve"> </v>
      </c>
      <c r="W6" s="1" t="str">
        <f xml:space="preserve"> データ!B6</f>
        <v>c</v>
      </c>
      <c r="AA6" s="54"/>
    </row>
    <row r="7" spans="1:28" s="42" customFormat="1" x14ac:dyDescent="0.3">
      <c r="A7" s="95" t="str">
        <f xml:space="preserve"> データ!B7</f>
        <v>d</v>
      </c>
      <c r="B7" s="81">
        <f t="shared" si="1"/>
        <v>0.75</v>
      </c>
      <c r="C7" s="82">
        <v>16</v>
      </c>
      <c r="D7" s="35">
        <v>12</v>
      </c>
      <c r="E7" s="91"/>
      <c r="F7" s="35">
        <v>2</v>
      </c>
      <c r="G7" s="91">
        <v>1</v>
      </c>
      <c r="H7" s="35"/>
      <c r="I7" s="92">
        <v>1</v>
      </c>
      <c r="J7" s="35"/>
      <c r="L7" s="156">
        <f>SMALL($V$4:V$55,ROW(A4))</f>
        <v>3</v>
      </c>
      <c r="M7" s="157" t="s">
        <v>72</v>
      </c>
      <c r="N7" s="45" t="str">
        <f>IF(L7="","",INDEX(W:W,LARGE(INDEX((V$4:V$55=L7)*ROW($4:$55),),COUNTIF(L7:L$55,L7))))</f>
        <v>h</v>
      </c>
      <c r="O7" s="93">
        <f t="shared" si="2"/>
        <v>0.75</v>
      </c>
      <c r="P7" s="104">
        <f t="shared" si="3"/>
        <v>0.75</v>
      </c>
      <c r="Q7" s="99" t="str">
        <f t="shared" si="4"/>
        <v>↑</v>
      </c>
      <c r="R7" s="94">
        <f t="shared" si="5"/>
        <v>0.75</v>
      </c>
      <c r="V7" s="20">
        <f t="shared" si="0"/>
        <v>3</v>
      </c>
      <c r="W7" s="1" t="str">
        <f xml:space="preserve"> データ!B7</f>
        <v>d</v>
      </c>
      <c r="X7" s="42">
        <v>1</v>
      </c>
      <c r="Y7" s="42">
        <v>2</v>
      </c>
      <c r="Z7" s="42">
        <v>1</v>
      </c>
      <c r="AA7" s="96"/>
    </row>
    <row r="8" spans="1:28" x14ac:dyDescent="0.3">
      <c r="A8" s="4" t="str">
        <f xml:space="preserve"> データ!B8</f>
        <v>e</v>
      </c>
      <c r="B8" s="78" t="str">
        <f t="shared" si="1"/>
        <v/>
      </c>
      <c r="C8" s="38"/>
      <c r="D8" s="4"/>
      <c r="E8" s="66"/>
      <c r="F8" s="4"/>
      <c r="G8" s="66"/>
      <c r="H8" s="4"/>
      <c r="I8" s="67"/>
      <c r="J8" s="4"/>
      <c r="L8" s="156">
        <f>SMALL($V$4:V$55,ROW(A5))</f>
        <v>3</v>
      </c>
      <c r="M8" s="157" t="s">
        <v>72</v>
      </c>
      <c r="N8" s="45" t="str">
        <f>IF(L8="","",INDEX(W:W,LARGE(INDEX((V$4:V$55=L8)*ROW($4:$55),),COUNTIF(L8:L$55,L8))))</f>
        <v>f1</v>
      </c>
      <c r="O8" s="34">
        <f t="shared" si="2"/>
        <v>0.75</v>
      </c>
      <c r="P8" s="104">
        <f t="shared" si="3"/>
        <v>0.75</v>
      </c>
      <c r="Q8" s="100" t="str">
        <f t="shared" si="4"/>
        <v>↑</v>
      </c>
      <c r="R8" s="47">
        <f t="shared" si="5"/>
        <v>0.75</v>
      </c>
      <c r="V8" s="20" t="str">
        <f t="shared" si="0"/>
        <v xml:space="preserve"> </v>
      </c>
      <c r="W8" s="1" t="str">
        <f xml:space="preserve"> データ!B8</f>
        <v>e</v>
      </c>
      <c r="AA8" s="54"/>
    </row>
    <row r="9" spans="1:28" s="42" customFormat="1" x14ac:dyDescent="0.3">
      <c r="A9" s="35" t="str">
        <f xml:space="preserve"> データ!B9</f>
        <v>f</v>
      </c>
      <c r="B9" s="81" t="str">
        <f t="shared" si="1"/>
        <v/>
      </c>
      <c r="C9" s="82"/>
      <c r="D9" s="35"/>
      <c r="E9" s="91"/>
      <c r="F9" s="35"/>
      <c r="G9" s="91"/>
      <c r="H9" s="35"/>
      <c r="I9" s="92"/>
      <c r="J9" s="35"/>
      <c r="L9" s="127">
        <f>SMALL($V$4:V$55,ROW(A6))</f>
        <v>6</v>
      </c>
      <c r="M9" s="105" t="s">
        <v>72</v>
      </c>
      <c r="N9" s="45" t="str">
        <f>IF(L9="","",INDEX(W:W,LARGE(INDEX((V$4:V$55=L9)*ROW($4:$55),),COUNTIF(L9:L$55,L9))))</f>
        <v>b</v>
      </c>
      <c r="O9" s="93">
        <f t="shared" si="2"/>
        <v>0.68800000000000006</v>
      </c>
      <c r="P9" s="104">
        <f t="shared" si="3"/>
        <v>0.68800000000000006</v>
      </c>
      <c r="Q9" s="99" t="str">
        <f t="shared" si="4"/>
        <v>↑</v>
      </c>
      <c r="R9" s="94">
        <f t="shared" si="5"/>
        <v>1</v>
      </c>
      <c r="V9" s="20" t="str">
        <f t="shared" si="0"/>
        <v xml:space="preserve"> </v>
      </c>
      <c r="W9" s="1" t="str">
        <f xml:space="preserve"> データ!B9</f>
        <v>f</v>
      </c>
      <c r="AA9" s="96"/>
    </row>
    <row r="10" spans="1:28" x14ac:dyDescent="0.3">
      <c r="A10" s="4" t="str">
        <f xml:space="preserve"> データ!B10</f>
        <v>g</v>
      </c>
      <c r="B10" s="78" t="str">
        <f t="shared" si="1"/>
        <v/>
      </c>
      <c r="C10" s="38"/>
      <c r="D10" s="4"/>
      <c r="E10" s="66"/>
      <c r="F10" s="4"/>
      <c r="G10" s="66"/>
      <c r="H10" s="4"/>
      <c r="I10" s="67"/>
      <c r="J10" s="4"/>
      <c r="L10" s="127">
        <f>SMALL($V$4:V$55,ROW(A7))</f>
        <v>7</v>
      </c>
      <c r="M10" s="105" t="s">
        <v>72</v>
      </c>
      <c r="N10" s="45" t="str">
        <f>IF(L10="","",INDEX(W:W,LARGE(INDEX((V$4:V$55=L10)*ROW($4:$55),),COUNTIF(L10:L$55,L10))))</f>
        <v>aa</v>
      </c>
      <c r="O10" s="34">
        <f t="shared" si="2"/>
        <v>0.67400000000000004</v>
      </c>
      <c r="P10" s="104">
        <f t="shared" si="3"/>
        <v>0.67400000000000004</v>
      </c>
      <c r="Q10" s="100" t="str">
        <f t="shared" si="4"/>
        <v>↑</v>
      </c>
      <c r="R10" s="47">
        <f t="shared" si="5"/>
        <v>1</v>
      </c>
      <c r="V10" s="20" t="str">
        <f t="shared" si="0"/>
        <v xml:space="preserve"> </v>
      </c>
      <c r="W10" s="1" t="str">
        <f xml:space="preserve"> データ!B10</f>
        <v>g</v>
      </c>
      <c r="AA10" s="54"/>
    </row>
    <row r="11" spans="1:28" s="42" customFormat="1" x14ac:dyDescent="0.3">
      <c r="A11" s="35" t="str">
        <f xml:space="preserve"> データ!B11</f>
        <v>h</v>
      </c>
      <c r="B11" s="81">
        <f t="shared" si="1"/>
        <v>0.75</v>
      </c>
      <c r="C11" s="82">
        <v>12</v>
      </c>
      <c r="D11" s="35">
        <v>9</v>
      </c>
      <c r="E11" s="91"/>
      <c r="F11" s="35"/>
      <c r="G11" s="91">
        <v>3</v>
      </c>
      <c r="H11" s="35"/>
      <c r="I11" s="92"/>
      <c r="J11" s="35"/>
      <c r="L11" s="127">
        <f>SMALL($V$4:V$55,ROW(A8))</f>
        <v>8</v>
      </c>
      <c r="M11" s="105" t="s">
        <v>72</v>
      </c>
      <c r="N11" s="45" t="str">
        <f>IF(L11="","",INDEX(W:W,LARGE(INDEX((V$4:V$55=L11)*ROW($4:$55),),COUNTIF(L11:L$55,L11))))</f>
        <v>i</v>
      </c>
      <c r="O11" s="93">
        <f t="shared" si="2"/>
        <v>0.16700000000000001</v>
      </c>
      <c r="P11" s="104">
        <f t="shared" si="3"/>
        <v>0.16700000000000001</v>
      </c>
      <c r="Q11" s="99" t="str">
        <f t="shared" si="4"/>
        <v>↑</v>
      </c>
      <c r="R11" s="94">
        <f t="shared" si="5"/>
        <v>1</v>
      </c>
      <c r="V11" s="20">
        <f t="shared" si="0"/>
        <v>3</v>
      </c>
      <c r="W11" s="1" t="str">
        <f xml:space="preserve"> データ!B11</f>
        <v>h</v>
      </c>
      <c r="X11" s="42">
        <v>3</v>
      </c>
      <c r="Y11" s="42">
        <v>0</v>
      </c>
      <c r="Z11" s="42">
        <v>3</v>
      </c>
      <c r="AA11" s="96"/>
    </row>
    <row r="12" spans="1:28" x14ac:dyDescent="0.3">
      <c r="A12" s="4" t="str">
        <f xml:space="preserve"> データ!B12</f>
        <v>i</v>
      </c>
      <c r="B12" s="78">
        <f t="shared" si="1"/>
        <v>0.16700000000000001</v>
      </c>
      <c r="C12" s="38">
        <v>48</v>
      </c>
      <c r="D12" s="4">
        <v>8</v>
      </c>
      <c r="E12" s="66"/>
      <c r="F12" s="4"/>
      <c r="G12" s="66"/>
      <c r="H12" s="4">
        <v>4</v>
      </c>
      <c r="I12" s="67"/>
      <c r="J12" s="4">
        <v>8</v>
      </c>
      <c r="L12" s="127" t="e">
        <f>SMALL($V$4:V$55,ROW(A9))</f>
        <v>#NUM!</v>
      </c>
      <c r="M12" s="105" t="s">
        <v>72</v>
      </c>
      <c r="N12" s="45" t="e">
        <f>IF(L12="","",INDEX(W:W,LARGE(INDEX((V$4:V$55=L12)*ROW($4:$55),),COUNTIF(L12:L$55,L12))))</f>
        <v>#NUM!</v>
      </c>
      <c r="O12" s="34" t="e">
        <f t="shared" si="2"/>
        <v>#NUM!</v>
      </c>
      <c r="P12" s="104" t="e">
        <f t="shared" si="3"/>
        <v>#NUM!</v>
      </c>
      <c r="Q12" s="100" t="e">
        <f t="shared" si="4"/>
        <v>#NUM!</v>
      </c>
      <c r="R12" s="47" t="e">
        <f t="shared" si="5"/>
        <v>#NUM!</v>
      </c>
      <c r="V12" s="20">
        <f t="shared" si="0"/>
        <v>8</v>
      </c>
      <c r="W12" s="1" t="str">
        <f xml:space="preserve"> データ!B12</f>
        <v>i</v>
      </c>
      <c r="X12" s="1">
        <v>0</v>
      </c>
      <c r="Y12" s="1">
        <v>0</v>
      </c>
      <c r="Z12" s="1">
        <v>4</v>
      </c>
      <c r="AA12" s="54"/>
    </row>
    <row r="13" spans="1:28" x14ac:dyDescent="0.3">
      <c r="A13" s="3" t="str">
        <f xml:space="preserve"> データ!B13</f>
        <v>j</v>
      </c>
      <c r="B13" s="77" t="str">
        <f t="shared" si="1"/>
        <v/>
      </c>
      <c r="C13" s="9"/>
      <c r="D13" s="3"/>
      <c r="E13" s="64"/>
      <c r="F13" s="3"/>
      <c r="G13" s="64"/>
      <c r="H13" s="3"/>
      <c r="I13" s="49"/>
      <c r="J13" s="3"/>
      <c r="L13" s="127" t="e">
        <f>SMALL($V$4:V$55,ROW(A10))</f>
        <v>#NUM!</v>
      </c>
      <c r="M13" s="105" t="s">
        <v>72</v>
      </c>
      <c r="N13" s="45" t="e">
        <f>IF(L13="","",INDEX(W:W,LARGE(INDEX((V$4:V$55=L13)*ROW($4:$55),),COUNTIF(L13:L$55,L13))))</f>
        <v>#NUM!</v>
      </c>
      <c r="O13" s="34" t="e">
        <f t="shared" si="2"/>
        <v>#NUM!</v>
      </c>
      <c r="P13" s="104" t="e">
        <f t="shared" si="3"/>
        <v>#NUM!</v>
      </c>
      <c r="Q13" s="100" t="e">
        <f t="shared" si="4"/>
        <v>#NUM!</v>
      </c>
      <c r="R13" s="47" t="e">
        <f t="shared" si="5"/>
        <v>#NUM!</v>
      </c>
      <c r="V13" s="20" t="str">
        <f t="shared" si="0"/>
        <v xml:space="preserve"> </v>
      </c>
      <c r="W13" s="1" t="str">
        <f xml:space="preserve"> データ!B13</f>
        <v>j</v>
      </c>
      <c r="AA13" s="54"/>
    </row>
    <row r="14" spans="1:28" x14ac:dyDescent="0.3">
      <c r="A14" s="4" t="str">
        <f xml:space="preserve"> データ!B14</f>
        <v>k</v>
      </c>
      <c r="B14" s="78" t="str">
        <f t="shared" si="1"/>
        <v/>
      </c>
      <c r="C14" s="38"/>
      <c r="D14" s="4"/>
      <c r="E14" s="66"/>
      <c r="F14" s="4"/>
      <c r="G14" s="66"/>
      <c r="H14" s="4"/>
      <c r="I14" s="67"/>
      <c r="J14" s="4"/>
      <c r="L14" s="127" t="e">
        <f>SMALL($V$4:V$55,ROW(A11))</f>
        <v>#NUM!</v>
      </c>
      <c r="M14" s="105" t="s">
        <v>72</v>
      </c>
      <c r="N14" s="45" t="e">
        <f>IF(L14="","",INDEX(W:W,LARGE(INDEX((V$4:V$55=L14)*ROW($4:$55),),COUNTIF(L14:L$55,L14))))</f>
        <v>#NUM!</v>
      </c>
      <c r="O14" s="34" t="e">
        <f t="shared" si="2"/>
        <v>#NUM!</v>
      </c>
      <c r="P14" s="104" t="e">
        <f t="shared" si="3"/>
        <v>#NUM!</v>
      </c>
      <c r="Q14" s="100" t="e">
        <f t="shared" si="4"/>
        <v>#NUM!</v>
      </c>
      <c r="R14" s="47" t="e">
        <f t="shared" si="5"/>
        <v>#NUM!</v>
      </c>
      <c r="V14" s="20" t="str">
        <f t="shared" si="0"/>
        <v xml:space="preserve"> </v>
      </c>
      <c r="W14" s="1" t="str">
        <f xml:space="preserve"> データ!B14</f>
        <v>k</v>
      </c>
      <c r="AA14" s="54"/>
    </row>
    <row r="15" spans="1:28" x14ac:dyDescent="0.3">
      <c r="A15" s="40" t="str">
        <f xml:space="preserve"> データ!B15</f>
        <v>l</v>
      </c>
      <c r="B15" s="77" t="str">
        <f t="shared" si="1"/>
        <v/>
      </c>
      <c r="C15" s="9"/>
      <c r="D15" s="3"/>
      <c r="E15" s="64"/>
      <c r="F15" s="3"/>
      <c r="G15" s="64"/>
      <c r="H15" s="3"/>
      <c r="I15" s="49"/>
      <c r="J15" s="3"/>
      <c r="L15" s="127" t="e">
        <f>SMALL($V$4:V$55,ROW(A12))</f>
        <v>#NUM!</v>
      </c>
      <c r="M15" s="105" t="s">
        <v>72</v>
      </c>
      <c r="N15" s="45" t="e">
        <f>IF(L15="","",INDEX(W:W,LARGE(INDEX((V$4:V$55=L15)*ROW($4:$55),),COUNTIF(L15:L$55,L15))))</f>
        <v>#NUM!</v>
      </c>
      <c r="O15" s="34" t="e">
        <f t="shared" si="2"/>
        <v>#NUM!</v>
      </c>
      <c r="P15" s="104" t="e">
        <f t="shared" si="3"/>
        <v>#NUM!</v>
      </c>
      <c r="Q15" s="100" t="e">
        <f t="shared" si="4"/>
        <v>#NUM!</v>
      </c>
      <c r="R15" s="47" t="e">
        <f t="shared" si="5"/>
        <v>#NUM!</v>
      </c>
      <c r="V15" s="20" t="str">
        <f t="shared" si="0"/>
        <v xml:space="preserve"> </v>
      </c>
      <c r="W15" s="1" t="str">
        <f xml:space="preserve"> データ!B15</f>
        <v>l</v>
      </c>
      <c r="AA15" s="54"/>
    </row>
    <row r="16" spans="1:28" x14ac:dyDescent="0.3">
      <c r="A16" s="4" t="str">
        <f xml:space="preserve"> データ!B16</f>
        <v>m</v>
      </c>
      <c r="B16" s="78" t="str">
        <f t="shared" si="1"/>
        <v/>
      </c>
      <c r="C16" s="38"/>
      <c r="D16" s="4"/>
      <c r="E16" s="66"/>
      <c r="F16" s="4"/>
      <c r="G16" s="66"/>
      <c r="H16" s="4"/>
      <c r="I16" s="67"/>
      <c r="J16" s="4"/>
      <c r="L16" s="127" t="e">
        <f>SMALL($V$4:V$55,ROW(A13))</f>
        <v>#NUM!</v>
      </c>
      <c r="M16" s="105" t="s">
        <v>72</v>
      </c>
      <c r="N16" s="45" t="e">
        <f>IF(L16="","",INDEX(W:W,LARGE(INDEX((V$4:V$55=L16)*ROW($4:$55),),COUNTIF(L16:L$55,L16))))</f>
        <v>#NUM!</v>
      </c>
      <c r="O16" s="34" t="e">
        <f t="shared" si="2"/>
        <v>#NUM!</v>
      </c>
      <c r="P16" s="104" t="e">
        <f t="shared" si="3"/>
        <v>#NUM!</v>
      </c>
      <c r="Q16" s="100" t="e">
        <f t="shared" si="4"/>
        <v>#NUM!</v>
      </c>
      <c r="R16" s="47" t="e">
        <f t="shared" si="5"/>
        <v>#NUM!</v>
      </c>
      <c r="V16" s="20" t="str">
        <f t="shared" si="0"/>
        <v xml:space="preserve"> </v>
      </c>
      <c r="W16" s="1" t="str">
        <f xml:space="preserve"> データ!B16</f>
        <v>m</v>
      </c>
      <c r="AA16" s="54"/>
    </row>
    <row r="17" spans="1:27" x14ac:dyDescent="0.3">
      <c r="A17" s="40" t="str">
        <f xml:space="preserve"> データ!B17</f>
        <v>n</v>
      </c>
      <c r="B17" s="77" t="str">
        <f t="shared" si="1"/>
        <v/>
      </c>
      <c r="C17" s="9"/>
      <c r="D17" s="3"/>
      <c r="E17" s="64"/>
      <c r="F17" s="3"/>
      <c r="G17" s="64"/>
      <c r="H17" s="3"/>
      <c r="I17" s="49"/>
      <c r="J17" s="3"/>
      <c r="L17" s="127" t="e">
        <f>SMALL($V$4:V$55,ROW(A14))</f>
        <v>#NUM!</v>
      </c>
      <c r="M17" s="105" t="s">
        <v>72</v>
      </c>
      <c r="N17" s="45" t="e">
        <f>IF(L17="","",INDEX(W:W,LARGE(INDEX((V$4:V$55=L17)*ROW($4:$55),),COUNTIF(L17:L$55,L17))))</f>
        <v>#NUM!</v>
      </c>
      <c r="O17" s="34" t="e">
        <f t="shared" si="2"/>
        <v>#NUM!</v>
      </c>
      <c r="P17" s="104" t="e">
        <f t="shared" si="3"/>
        <v>#NUM!</v>
      </c>
      <c r="Q17" s="100" t="e">
        <f t="shared" si="4"/>
        <v>#NUM!</v>
      </c>
      <c r="R17" s="47" t="e">
        <f t="shared" si="5"/>
        <v>#NUM!</v>
      </c>
      <c r="V17" s="20" t="str">
        <f t="shared" si="0"/>
        <v xml:space="preserve"> </v>
      </c>
      <c r="W17" s="1" t="str">
        <f xml:space="preserve"> データ!B17</f>
        <v>n</v>
      </c>
      <c r="AA17" s="54"/>
    </row>
    <row r="18" spans="1:27" x14ac:dyDescent="0.3">
      <c r="A18" s="4" t="str">
        <f xml:space="preserve"> データ!B18</f>
        <v>o</v>
      </c>
      <c r="B18" s="78">
        <f t="shared" si="1"/>
        <v>1</v>
      </c>
      <c r="C18" s="38">
        <v>48</v>
      </c>
      <c r="D18" s="4">
        <v>48</v>
      </c>
      <c r="E18" s="66"/>
      <c r="F18" s="4">
        <v>12</v>
      </c>
      <c r="G18" s="66"/>
      <c r="H18" s="4"/>
      <c r="I18" s="67"/>
      <c r="J18" s="4"/>
      <c r="L18" s="127" t="e">
        <f>SMALL($V$4:V$55,ROW(A15))</f>
        <v>#NUM!</v>
      </c>
      <c r="M18" s="105" t="s">
        <v>72</v>
      </c>
      <c r="N18" s="45" t="e">
        <f>IF(L18="","",INDEX(W:W,LARGE(INDEX((V$4:V$55=L18)*ROW($4:$55),),COUNTIF(L18:L$55,L18))))</f>
        <v>#NUM!</v>
      </c>
      <c r="O18" s="34" t="e">
        <f t="shared" si="2"/>
        <v>#NUM!</v>
      </c>
      <c r="P18" s="104" t="e">
        <f t="shared" si="3"/>
        <v>#NUM!</v>
      </c>
      <c r="Q18" s="100" t="e">
        <f t="shared" si="4"/>
        <v>#NUM!</v>
      </c>
      <c r="R18" s="47" t="e">
        <f t="shared" si="5"/>
        <v>#NUM!</v>
      </c>
      <c r="V18" s="20">
        <f t="shared" si="0"/>
        <v>1</v>
      </c>
      <c r="W18" s="1" t="str">
        <f xml:space="preserve"> データ!B18</f>
        <v>o</v>
      </c>
      <c r="X18" s="1">
        <v>0</v>
      </c>
      <c r="Y18" s="1">
        <v>12</v>
      </c>
      <c r="Z18" s="1">
        <v>4</v>
      </c>
      <c r="AA18" s="54"/>
    </row>
    <row r="19" spans="1:27" x14ac:dyDescent="0.3">
      <c r="A19" s="40" t="str">
        <f xml:space="preserve"> データ!B19</f>
        <v>p</v>
      </c>
      <c r="B19" s="77" t="str">
        <f t="shared" si="1"/>
        <v/>
      </c>
      <c r="C19" s="9"/>
      <c r="D19" s="3"/>
      <c r="E19" s="64"/>
      <c r="F19" s="3"/>
      <c r="G19" s="64"/>
      <c r="H19" s="3"/>
      <c r="I19" s="49"/>
      <c r="J19" s="3"/>
      <c r="L19" s="127" t="e">
        <f>SMALL($V$4:V$55,ROW(A16))</f>
        <v>#NUM!</v>
      </c>
      <c r="M19" s="105" t="s">
        <v>72</v>
      </c>
      <c r="N19" s="45" t="e">
        <f>IF(L19="","",INDEX(W:W,LARGE(INDEX((V$4:V$55=L19)*ROW($4:$55),),COUNTIF(L19:L$55,L19))))</f>
        <v>#NUM!</v>
      </c>
      <c r="O19" s="34" t="e">
        <f t="shared" si="2"/>
        <v>#NUM!</v>
      </c>
      <c r="P19" s="104" t="e">
        <f t="shared" si="3"/>
        <v>#NUM!</v>
      </c>
      <c r="Q19" s="100" t="e">
        <f t="shared" si="4"/>
        <v>#NUM!</v>
      </c>
      <c r="R19" s="47" t="e">
        <f t="shared" si="5"/>
        <v>#NUM!</v>
      </c>
      <c r="V19" s="20" t="str">
        <f t="shared" si="0"/>
        <v xml:space="preserve"> </v>
      </c>
      <c r="W19" s="1" t="str">
        <f xml:space="preserve"> データ!B19</f>
        <v>p</v>
      </c>
      <c r="AA19" s="54"/>
    </row>
    <row r="20" spans="1:27" x14ac:dyDescent="0.3">
      <c r="A20" s="4" t="str">
        <f xml:space="preserve"> データ!B20</f>
        <v>q</v>
      </c>
      <c r="B20" s="78"/>
      <c r="C20" s="38"/>
      <c r="D20" s="4"/>
      <c r="E20" s="66"/>
      <c r="F20" s="4"/>
      <c r="G20" s="66"/>
      <c r="H20" s="4"/>
      <c r="I20" s="67"/>
      <c r="J20" s="4"/>
      <c r="L20" s="127" t="e">
        <f>SMALL($V$4:V$55,ROW(A17))</f>
        <v>#NUM!</v>
      </c>
      <c r="M20" s="105" t="s">
        <v>72</v>
      </c>
      <c r="N20" s="45" t="e">
        <f>IF(L20="","",INDEX(W:W,LARGE(INDEX((V$4:V$55=L20)*ROW($4:$55),),COUNTIF(L20:L$55,L20))))</f>
        <v>#NUM!</v>
      </c>
      <c r="O20" s="34" t="e">
        <f t="shared" si="2"/>
        <v>#NUM!</v>
      </c>
      <c r="P20" s="104" t="e">
        <f t="shared" si="3"/>
        <v>#NUM!</v>
      </c>
      <c r="Q20" s="100" t="e">
        <f t="shared" si="4"/>
        <v>#NUM!</v>
      </c>
      <c r="R20" s="47" t="e">
        <f t="shared" si="5"/>
        <v>#NUM!</v>
      </c>
      <c r="W20" s="1" t="str">
        <f xml:space="preserve"> データ!B20</f>
        <v>q</v>
      </c>
      <c r="AA20" s="54"/>
    </row>
    <row r="21" spans="1:27" x14ac:dyDescent="0.3">
      <c r="A21" s="40" t="str">
        <f xml:space="preserve"> データ!B21</f>
        <v>r</v>
      </c>
      <c r="B21" s="77" t="str">
        <f t="shared" si="1"/>
        <v/>
      </c>
      <c r="C21" s="9"/>
      <c r="D21" s="3"/>
      <c r="E21" s="64"/>
      <c r="F21" s="3"/>
      <c r="G21" s="64"/>
      <c r="H21" s="3"/>
      <c r="I21" s="49"/>
      <c r="J21" s="3"/>
      <c r="L21" s="127" t="e">
        <f>SMALL($V$4:V$55,ROW(A18))</f>
        <v>#NUM!</v>
      </c>
      <c r="M21" s="105" t="s">
        <v>72</v>
      </c>
      <c r="N21" s="45" t="e">
        <f>IF(L21="","",INDEX(W:W,LARGE(INDEX((V$4:V$55=L21)*ROW($4:$55),),COUNTIF(L21:L$55,L21))))</f>
        <v>#NUM!</v>
      </c>
      <c r="O21" s="34" t="e">
        <f t="shared" si="2"/>
        <v>#NUM!</v>
      </c>
      <c r="P21" s="104" t="e">
        <f t="shared" si="3"/>
        <v>#NUM!</v>
      </c>
      <c r="Q21" s="100" t="e">
        <f t="shared" si="4"/>
        <v>#NUM!</v>
      </c>
      <c r="R21" s="47" t="e">
        <f t="shared" si="5"/>
        <v>#NUM!</v>
      </c>
      <c r="V21" s="20" t="str">
        <f t="shared" si="0"/>
        <v xml:space="preserve"> </v>
      </c>
      <c r="W21" s="1" t="str">
        <f xml:space="preserve"> データ!B21</f>
        <v>r</v>
      </c>
      <c r="AA21" s="54"/>
    </row>
    <row r="22" spans="1:27" x14ac:dyDescent="0.3">
      <c r="A22" s="4" t="str">
        <f xml:space="preserve"> データ!B22</f>
        <v>s</v>
      </c>
      <c r="B22" s="78" t="str">
        <f t="shared" si="1"/>
        <v/>
      </c>
      <c r="C22" s="38"/>
      <c r="D22" s="4"/>
      <c r="E22" s="66"/>
      <c r="F22" s="4"/>
      <c r="G22" s="66"/>
      <c r="H22" s="4"/>
      <c r="I22" s="67"/>
      <c r="J22" s="4"/>
      <c r="L22" s="127" t="e">
        <f>SMALL($V$4:V$55,ROW(A19))</f>
        <v>#NUM!</v>
      </c>
      <c r="M22" s="105" t="s">
        <v>72</v>
      </c>
      <c r="N22" s="45" t="e">
        <f>IF(L22="","",INDEX(W:W,LARGE(INDEX((V$4:V$55=L22)*ROW($4:$55),),COUNTIF(L22:L$55,L22))))</f>
        <v>#NUM!</v>
      </c>
      <c r="O22" s="34" t="e">
        <f t="shared" si="2"/>
        <v>#NUM!</v>
      </c>
      <c r="P22" s="104" t="e">
        <f t="shared" si="3"/>
        <v>#NUM!</v>
      </c>
      <c r="Q22" s="100" t="e">
        <f t="shared" si="4"/>
        <v>#NUM!</v>
      </c>
      <c r="R22" s="47" t="e">
        <f t="shared" si="5"/>
        <v>#NUM!</v>
      </c>
      <c r="V22" s="20" t="str">
        <f t="shared" si="0"/>
        <v xml:space="preserve"> </v>
      </c>
      <c r="W22" s="1" t="str">
        <f xml:space="preserve"> データ!B22</f>
        <v>s</v>
      </c>
      <c r="AA22" s="54"/>
    </row>
    <row r="23" spans="1:27" x14ac:dyDescent="0.3">
      <c r="A23" s="3" t="str">
        <f xml:space="preserve"> データ!B23</f>
        <v>t</v>
      </c>
      <c r="B23" s="77" t="str">
        <f t="shared" si="1"/>
        <v/>
      </c>
      <c r="C23" s="80"/>
      <c r="D23" s="80"/>
      <c r="E23" s="80"/>
      <c r="F23" s="80"/>
      <c r="G23" s="80"/>
      <c r="H23" s="80"/>
      <c r="I23" s="80"/>
      <c r="J23" s="80"/>
      <c r="L23" s="127" t="e">
        <f>SMALL($V$4:V$55,ROW(A20))</f>
        <v>#NUM!</v>
      </c>
      <c r="M23" s="105" t="s">
        <v>72</v>
      </c>
      <c r="N23" s="45" t="e">
        <f>IF(L23="","",INDEX(W:W,LARGE(INDEX((V$4:V$55=L23)*ROW($4:$55),),COUNTIF(L23:L$55,L23))))</f>
        <v>#NUM!</v>
      </c>
      <c r="O23" s="34" t="e">
        <f t="shared" si="2"/>
        <v>#NUM!</v>
      </c>
      <c r="P23" s="104" t="e">
        <f t="shared" si="3"/>
        <v>#NUM!</v>
      </c>
      <c r="Q23" s="100" t="e">
        <f t="shared" si="4"/>
        <v>#NUM!</v>
      </c>
      <c r="R23" s="47" t="e">
        <f t="shared" si="5"/>
        <v>#NUM!</v>
      </c>
      <c r="V23" s="20" t="str">
        <f t="shared" si="0"/>
        <v xml:space="preserve"> </v>
      </c>
      <c r="W23" s="1" t="str">
        <f xml:space="preserve"> データ!B23</f>
        <v>t</v>
      </c>
      <c r="AA23" s="54"/>
    </row>
    <row r="24" spans="1:27" x14ac:dyDescent="0.3">
      <c r="A24" s="4" t="str">
        <f xml:space="preserve"> データ!B24</f>
        <v>u</v>
      </c>
      <c r="B24" s="78" t="str">
        <f t="shared" si="1"/>
        <v/>
      </c>
      <c r="C24" s="4"/>
      <c r="D24" s="4"/>
      <c r="E24" s="4"/>
      <c r="F24" s="4"/>
      <c r="G24" s="4"/>
      <c r="H24" s="4"/>
      <c r="I24" s="4"/>
      <c r="J24" s="4"/>
      <c r="L24" s="127" t="e">
        <f>SMALL($V$4:V$55,ROW(A21))</f>
        <v>#NUM!</v>
      </c>
      <c r="M24" s="105" t="s">
        <v>72</v>
      </c>
      <c r="N24" s="45" t="e">
        <f>IF(L24="","",INDEX(W:W,LARGE(INDEX((V$4:V$55=L24)*ROW($4:$55),),COUNTIF(L24:L$55,L24))))</f>
        <v>#NUM!</v>
      </c>
      <c r="O24" s="34" t="e">
        <f t="shared" si="2"/>
        <v>#NUM!</v>
      </c>
      <c r="P24" s="104" t="e">
        <f t="shared" si="3"/>
        <v>#NUM!</v>
      </c>
      <c r="Q24" s="100" t="e">
        <f t="shared" si="4"/>
        <v>#NUM!</v>
      </c>
      <c r="R24" s="47" t="e">
        <f t="shared" si="5"/>
        <v>#NUM!</v>
      </c>
      <c r="V24" s="20" t="str">
        <f t="shared" si="0"/>
        <v xml:space="preserve"> </v>
      </c>
      <c r="W24" s="1" t="str">
        <f xml:space="preserve"> データ!B24</f>
        <v>u</v>
      </c>
      <c r="AA24" s="54"/>
    </row>
    <row r="25" spans="1:27" x14ac:dyDescent="0.3">
      <c r="A25" s="35" t="str">
        <f xml:space="preserve"> データ!B25</f>
        <v>v</v>
      </c>
      <c r="B25" s="77" t="str">
        <f t="shared" si="1"/>
        <v/>
      </c>
      <c r="C25" s="3"/>
      <c r="D25" s="3"/>
      <c r="E25" s="3"/>
      <c r="F25" s="3"/>
      <c r="G25" s="3"/>
      <c r="H25" s="3"/>
      <c r="I25" s="3"/>
      <c r="J25" s="3"/>
      <c r="L25" s="127" t="e">
        <f>SMALL($V$4:V$55,ROW(A22))</f>
        <v>#NUM!</v>
      </c>
      <c r="M25" s="105" t="s">
        <v>72</v>
      </c>
      <c r="N25" s="45" t="e">
        <f>IF(L25="","",INDEX(W:W,LARGE(INDEX((V$4:V$55=L25)*ROW($4:$55),),COUNTIF(L25:L$55,L25))))</f>
        <v>#NUM!</v>
      </c>
      <c r="O25" s="34" t="e">
        <f t="shared" si="2"/>
        <v>#NUM!</v>
      </c>
      <c r="P25" s="104" t="e">
        <f t="shared" si="3"/>
        <v>#NUM!</v>
      </c>
      <c r="Q25" s="100" t="e">
        <f t="shared" si="4"/>
        <v>#NUM!</v>
      </c>
      <c r="R25" s="47" t="e">
        <f t="shared" si="5"/>
        <v>#NUM!</v>
      </c>
      <c r="V25" s="20" t="str">
        <f t="shared" si="0"/>
        <v xml:space="preserve"> </v>
      </c>
      <c r="W25" s="1" t="str">
        <f xml:space="preserve"> データ!B25</f>
        <v>v</v>
      </c>
      <c r="AA25" s="54"/>
    </row>
    <row r="26" spans="1:27" x14ac:dyDescent="0.3">
      <c r="A26" s="4" t="str">
        <f xml:space="preserve"> データ!B26</f>
        <v>w</v>
      </c>
      <c r="B26" s="78" t="str">
        <f t="shared" si="1"/>
        <v/>
      </c>
      <c r="C26" s="4"/>
      <c r="D26" s="4"/>
      <c r="E26" s="4"/>
      <c r="F26" s="4"/>
      <c r="G26" s="4"/>
      <c r="H26" s="4"/>
      <c r="I26" s="4"/>
      <c r="J26" s="4"/>
      <c r="L26" s="127" t="e">
        <f>SMALL($V$4:V$55,ROW(A23))</f>
        <v>#NUM!</v>
      </c>
      <c r="M26" s="105" t="s">
        <v>72</v>
      </c>
      <c r="N26" s="45" t="e">
        <f>IF(L26="","",INDEX(W:W,LARGE(INDEX((V$4:V$55=L26)*ROW($4:$55),),COUNTIF(L26:L$55,L26))))</f>
        <v>#NUM!</v>
      </c>
      <c r="O26" s="34" t="e">
        <f t="shared" si="2"/>
        <v>#NUM!</v>
      </c>
      <c r="P26" s="104" t="e">
        <f t="shared" si="3"/>
        <v>#NUM!</v>
      </c>
      <c r="Q26" s="100" t="e">
        <f t="shared" si="4"/>
        <v>#NUM!</v>
      </c>
      <c r="R26" s="47" t="e">
        <f t="shared" si="5"/>
        <v>#NUM!</v>
      </c>
      <c r="V26" s="20" t="str">
        <f t="shared" si="0"/>
        <v xml:space="preserve"> </v>
      </c>
      <c r="W26" s="1" t="str">
        <f xml:space="preserve"> データ!B26</f>
        <v>w</v>
      </c>
      <c r="AA26" s="54"/>
    </row>
    <row r="27" spans="1:27" x14ac:dyDescent="0.3">
      <c r="A27" s="82" t="str">
        <f xml:space="preserve"> データ!B27</f>
        <v>x</v>
      </c>
      <c r="B27" s="81" t="str">
        <f t="shared" si="1"/>
        <v/>
      </c>
      <c r="C27" s="35"/>
      <c r="D27" s="35"/>
      <c r="E27" s="35"/>
      <c r="F27" s="35"/>
      <c r="G27" s="35"/>
      <c r="H27" s="35"/>
      <c r="I27" s="35"/>
      <c r="J27" s="35"/>
      <c r="L27" s="127" t="e">
        <f>SMALL($V$4:V$55,ROW(A24))</f>
        <v>#NUM!</v>
      </c>
      <c r="M27" s="105" t="s">
        <v>72</v>
      </c>
      <c r="N27" s="45" t="e">
        <f>IF(L27="","",INDEX(W:W,LARGE(INDEX((V$4:V$55=L27)*ROW($4:$55),),COUNTIF(L27:L$55,L27))))</f>
        <v>#NUM!</v>
      </c>
      <c r="O27" s="34" t="e">
        <f t="shared" si="2"/>
        <v>#NUM!</v>
      </c>
      <c r="P27" s="104" t="e">
        <f t="shared" si="3"/>
        <v>#NUM!</v>
      </c>
      <c r="Q27" s="100" t="e">
        <f t="shared" si="4"/>
        <v>#NUM!</v>
      </c>
      <c r="R27" s="47" t="e">
        <f t="shared" si="5"/>
        <v>#NUM!</v>
      </c>
      <c r="V27" s="20" t="str">
        <f t="shared" si="0"/>
        <v xml:space="preserve"> </v>
      </c>
      <c r="W27" s="1" t="str">
        <f xml:space="preserve"> データ!B27</f>
        <v>x</v>
      </c>
      <c r="AA27" s="54"/>
    </row>
    <row r="28" spans="1:27" x14ac:dyDescent="0.3">
      <c r="A28" s="38" t="str">
        <f xml:space="preserve"> データ!B28</f>
        <v>y</v>
      </c>
      <c r="B28" s="78" t="str">
        <f t="shared" si="1"/>
        <v/>
      </c>
      <c r="C28" s="4"/>
      <c r="D28" s="4"/>
      <c r="E28" s="4"/>
      <c r="F28" s="4"/>
      <c r="G28" s="4"/>
      <c r="H28" s="4"/>
      <c r="I28" s="4"/>
      <c r="J28" s="4"/>
      <c r="L28" s="127" t="e">
        <f>SMALL($V$4:V$55,ROW(A25))</f>
        <v>#NUM!</v>
      </c>
      <c r="M28" s="105" t="s">
        <v>72</v>
      </c>
      <c r="N28" s="45" t="e">
        <f>IF(L28="","",INDEX(W:W,LARGE(INDEX((V$4:V$55=L28)*ROW($4:$55),),COUNTIF(L28:L$55,L28))))</f>
        <v>#NUM!</v>
      </c>
      <c r="O28" s="34" t="e">
        <f t="shared" si="2"/>
        <v>#NUM!</v>
      </c>
      <c r="P28" s="104" t="e">
        <f t="shared" si="3"/>
        <v>#NUM!</v>
      </c>
      <c r="Q28" s="100" t="e">
        <f t="shared" si="4"/>
        <v>#NUM!</v>
      </c>
      <c r="R28" s="47" t="e">
        <f t="shared" si="5"/>
        <v>#NUM!</v>
      </c>
      <c r="V28" s="20" t="str">
        <f t="shared" si="0"/>
        <v xml:space="preserve"> </v>
      </c>
      <c r="W28" s="1" t="str">
        <f xml:space="preserve"> データ!B28</f>
        <v>y</v>
      </c>
      <c r="AA28" s="54"/>
    </row>
    <row r="29" spans="1:27" x14ac:dyDescent="0.3">
      <c r="A29" s="82" t="str">
        <f xml:space="preserve"> データ!B29</f>
        <v>z</v>
      </c>
      <c r="B29" s="81" t="str">
        <f t="shared" si="1"/>
        <v/>
      </c>
      <c r="C29" s="35">
        <v>0</v>
      </c>
      <c r="D29" s="35">
        <v>0</v>
      </c>
      <c r="E29" s="35"/>
      <c r="F29" s="35"/>
      <c r="G29" s="35"/>
      <c r="H29" s="35"/>
      <c r="I29" s="35"/>
      <c r="J29" s="35"/>
      <c r="L29" s="127" t="e">
        <f>SMALL($V$4:V$55,ROW(A26))</f>
        <v>#NUM!</v>
      </c>
      <c r="M29" s="105" t="s">
        <v>72</v>
      </c>
      <c r="N29" s="45" t="e">
        <f>IF(L29="","",INDEX(W:W,LARGE(INDEX((V$4:V$55=L29)*ROW($4:$55),),COUNTIF(L29:L$55,L29))))</f>
        <v>#NUM!</v>
      </c>
      <c r="O29" s="34" t="e">
        <f t="shared" si="2"/>
        <v>#NUM!</v>
      </c>
      <c r="P29" s="104" t="e">
        <f t="shared" si="3"/>
        <v>#NUM!</v>
      </c>
      <c r="Q29" s="100" t="e">
        <f t="shared" si="4"/>
        <v>#NUM!</v>
      </c>
      <c r="R29" s="47" t="e">
        <f t="shared" si="5"/>
        <v>#NUM!</v>
      </c>
      <c r="V29" s="20" t="str">
        <f t="shared" si="0"/>
        <v xml:space="preserve"> </v>
      </c>
      <c r="W29" s="1" t="str">
        <f xml:space="preserve"> データ!B29</f>
        <v>z</v>
      </c>
      <c r="X29" s="1">
        <v>0</v>
      </c>
      <c r="Y29" s="1">
        <v>0</v>
      </c>
      <c r="Z29" s="1">
        <v>3</v>
      </c>
      <c r="AA29" s="54"/>
    </row>
    <row r="30" spans="1:27" x14ac:dyDescent="0.3">
      <c r="A30" s="83" t="str">
        <f xml:space="preserve"> データ!B30</f>
        <v>a1</v>
      </c>
      <c r="B30" s="84" t="str">
        <f t="shared" si="1"/>
        <v/>
      </c>
      <c r="C30" s="85"/>
      <c r="D30" s="85"/>
      <c r="E30" s="85"/>
      <c r="F30" s="85"/>
      <c r="G30" s="85"/>
      <c r="H30" s="85"/>
      <c r="I30" s="85"/>
      <c r="J30" s="85"/>
      <c r="L30" s="127" t="e">
        <f>SMALL($V$4:V$55,ROW(A27))</f>
        <v>#NUM!</v>
      </c>
      <c r="M30" s="105" t="s">
        <v>72</v>
      </c>
      <c r="N30" s="45" t="e">
        <f>IF(L30="","",INDEX(W:W,LARGE(INDEX((V$4:V$55=L30)*ROW($4:$55),),COUNTIF(L30:L$55,L30))))</f>
        <v>#NUM!</v>
      </c>
      <c r="O30" s="34" t="e">
        <f t="shared" si="2"/>
        <v>#NUM!</v>
      </c>
      <c r="P30" s="104" t="e">
        <f t="shared" si="3"/>
        <v>#NUM!</v>
      </c>
      <c r="Q30" s="100" t="e">
        <f t="shared" si="4"/>
        <v>#NUM!</v>
      </c>
      <c r="R30" s="47" t="e">
        <f t="shared" si="5"/>
        <v>#NUM!</v>
      </c>
      <c r="V30" s="20" t="str">
        <f t="shared" si="0"/>
        <v xml:space="preserve"> </v>
      </c>
      <c r="W30" s="1" t="str">
        <f xml:space="preserve"> データ!B30</f>
        <v>a1</v>
      </c>
      <c r="AA30" s="54"/>
    </row>
    <row r="31" spans="1:27" x14ac:dyDescent="0.3">
      <c r="A31" s="35" t="str">
        <f xml:space="preserve"> データ!B31</f>
        <v>b1</v>
      </c>
      <c r="B31" s="81" t="str">
        <f t="shared" si="1"/>
        <v/>
      </c>
      <c r="C31" s="35"/>
      <c r="D31" s="35"/>
      <c r="E31" s="35"/>
      <c r="F31" s="35"/>
      <c r="G31" s="35"/>
      <c r="H31" s="35"/>
      <c r="I31" s="35"/>
      <c r="J31" s="35"/>
      <c r="L31" s="128" t="e">
        <f>SMALL($V$4:V$55,ROW(A28))</f>
        <v>#NUM!</v>
      </c>
      <c r="M31" s="119" t="s">
        <v>72</v>
      </c>
      <c r="N31" s="107" t="e">
        <f>IF(L31="","",INDEX(W:W,LARGE(INDEX((V$4:V$55=L31)*ROW($4:$55),),COUNTIF(L31:L$55,L31))))</f>
        <v>#NUM!</v>
      </c>
      <c r="O31" s="108" t="e">
        <f t="shared" si="2"/>
        <v>#NUM!</v>
      </c>
      <c r="P31" s="109" t="e">
        <f t="shared" si="3"/>
        <v>#NUM!</v>
      </c>
      <c r="Q31" s="101" t="e">
        <f t="shared" si="4"/>
        <v>#NUM!</v>
      </c>
      <c r="R31" s="47" t="e">
        <f t="shared" si="5"/>
        <v>#NUM!</v>
      </c>
      <c r="V31" s="20" t="str">
        <f t="shared" si="0"/>
        <v xml:space="preserve"> </v>
      </c>
      <c r="W31" s="1" t="str">
        <f xml:space="preserve"> データ!B31</f>
        <v>b1</v>
      </c>
      <c r="AA31" s="54"/>
    </row>
    <row r="32" spans="1:27" x14ac:dyDescent="0.3">
      <c r="A32" s="4" t="str">
        <f xml:space="preserve"> データ!B32</f>
        <v>c1</v>
      </c>
      <c r="B32" s="78" t="str">
        <f t="shared" si="1"/>
        <v/>
      </c>
      <c r="C32" s="4"/>
      <c r="D32" s="4"/>
      <c r="E32" s="4"/>
      <c r="F32" s="4"/>
      <c r="G32" s="4"/>
      <c r="H32" s="4"/>
      <c r="I32" s="4"/>
      <c r="J32" s="4"/>
      <c r="L32" s="129" t="e">
        <f>SMALL($V$4:V$55,ROW(A29))</f>
        <v>#NUM!</v>
      </c>
      <c r="M32" s="106" t="s">
        <v>72</v>
      </c>
      <c r="N32" s="110" t="e">
        <f>IF(L32="","",INDEX(W:W,LARGE(INDEX((V$4:V$55=L32)*ROW($4:$55),),COUNTIF(L32:L$55,L32))))</f>
        <v>#NUM!</v>
      </c>
      <c r="O32" s="34" t="e">
        <f t="shared" si="2"/>
        <v>#NUM!</v>
      </c>
      <c r="P32" s="111" t="e">
        <f t="shared" si="3"/>
        <v>#NUM!</v>
      </c>
      <c r="Q32" s="100" t="e">
        <f t="shared" si="4"/>
        <v>#NUM!</v>
      </c>
      <c r="R32" s="47" t="e">
        <f t="shared" si="5"/>
        <v>#NUM!</v>
      </c>
      <c r="V32" s="20" t="str">
        <f t="shared" si="0"/>
        <v xml:space="preserve"> </v>
      </c>
      <c r="W32" s="1" t="str">
        <f xml:space="preserve"> データ!B32</f>
        <v>c1</v>
      </c>
      <c r="AA32" s="54"/>
    </row>
    <row r="33" spans="1:27" x14ac:dyDescent="0.3">
      <c r="A33" s="3" t="str">
        <f xml:space="preserve"> データ!B33</f>
        <v>d1</v>
      </c>
      <c r="B33" s="79" t="str">
        <f t="shared" si="1"/>
        <v/>
      </c>
      <c r="C33" s="3"/>
      <c r="D33" s="3"/>
      <c r="E33" s="3"/>
      <c r="F33" s="3"/>
      <c r="G33" s="3"/>
      <c r="H33" s="3"/>
      <c r="I33" s="3"/>
      <c r="J33" s="3"/>
      <c r="L33" s="129" t="e">
        <f>SMALL($V$4:V$55,ROW(A30))</f>
        <v>#NUM!</v>
      </c>
      <c r="M33" s="106" t="s">
        <v>72</v>
      </c>
      <c r="N33" s="110" t="e">
        <f>IF(L33="","",INDEX(W:W,LARGE(INDEX((V$4:V$55=L33)*ROW($4:$55),),COUNTIF(L33:L$55,L33))))</f>
        <v>#NUM!</v>
      </c>
      <c r="O33" s="34" t="e">
        <f t="shared" si="2"/>
        <v>#NUM!</v>
      </c>
      <c r="P33" s="111" t="e">
        <f t="shared" si="3"/>
        <v>#NUM!</v>
      </c>
      <c r="Q33" s="100" t="e">
        <f t="shared" si="4"/>
        <v>#NUM!</v>
      </c>
      <c r="R33" s="47" t="e">
        <f t="shared" si="5"/>
        <v>#NUM!</v>
      </c>
      <c r="V33" s="20" t="str">
        <f t="shared" si="0"/>
        <v xml:space="preserve"> </v>
      </c>
      <c r="W33" s="1" t="str">
        <f xml:space="preserve"> データ!B33</f>
        <v>d1</v>
      </c>
      <c r="AA33" s="54"/>
    </row>
    <row r="34" spans="1:27" x14ac:dyDescent="0.3">
      <c r="A34" s="4" t="str">
        <f xml:space="preserve"> データ!B34</f>
        <v>e1</v>
      </c>
      <c r="B34" s="78" t="str">
        <f t="shared" si="1"/>
        <v/>
      </c>
      <c r="C34" s="4"/>
      <c r="D34" s="4"/>
      <c r="E34" s="4"/>
      <c r="F34" s="4"/>
      <c r="G34" s="4"/>
      <c r="H34" s="4"/>
      <c r="I34" s="4"/>
      <c r="J34" s="4"/>
      <c r="L34" s="129" t="e">
        <f>SMALL($V$4:V$55,ROW(A31))</f>
        <v>#NUM!</v>
      </c>
      <c r="M34" s="106" t="s">
        <v>72</v>
      </c>
      <c r="N34" s="110" t="e">
        <f>IF(L34="","",INDEX(W:W,LARGE(INDEX((V$4:V$55=L34)*ROW($4:$55),),COUNTIF(L34:L$55,L34))))</f>
        <v>#NUM!</v>
      </c>
      <c r="O34" s="34" t="e">
        <f t="shared" si="2"/>
        <v>#NUM!</v>
      </c>
      <c r="P34" s="112" t="e">
        <f t="shared" si="3"/>
        <v>#NUM!</v>
      </c>
      <c r="Q34" s="100" t="e">
        <f t="shared" si="4"/>
        <v>#NUM!</v>
      </c>
      <c r="R34" s="47" t="e">
        <f t="shared" si="5"/>
        <v>#NUM!</v>
      </c>
      <c r="V34" s="20" t="str">
        <f t="shared" si="0"/>
        <v xml:space="preserve"> </v>
      </c>
      <c r="W34" s="1" t="str">
        <f xml:space="preserve"> データ!B34</f>
        <v>e1</v>
      </c>
      <c r="AA34" s="54"/>
    </row>
    <row r="35" spans="1:27" x14ac:dyDescent="0.3">
      <c r="A35" s="3" t="str">
        <f xml:space="preserve"> データ!B35</f>
        <v>f1</v>
      </c>
      <c r="B35" s="79">
        <f t="shared" si="1"/>
        <v>0.75</v>
      </c>
      <c r="C35" s="3">
        <v>12</v>
      </c>
      <c r="D35" s="3">
        <v>9</v>
      </c>
      <c r="E35" s="3"/>
      <c r="F35" s="3"/>
      <c r="G35" s="3">
        <v>3</v>
      </c>
      <c r="H35" s="3"/>
      <c r="I35" s="3"/>
      <c r="J35" s="3"/>
      <c r="L35" s="129" t="e">
        <f>SMALL($V$4:V$55,ROW(A32))</f>
        <v>#NUM!</v>
      </c>
      <c r="M35" s="106" t="s">
        <v>72</v>
      </c>
      <c r="N35" s="110" t="e">
        <f>IF(L35="","",INDEX(W:W,LARGE(INDEX((V$4:V$55=L35)*ROW($4:$55),),COUNTIF(L35:L$55,L35))))</f>
        <v>#NUM!</v>
      </c>
      <c r="O35" s="34" t="e">
        <f t="shared" si="2"/>
        <v>#NUM!</v>
      </c>
      <c r="P35" s="112" t="e">
        <f t="shared" si="3"/>
        <v>#NUM!</v>
      </c>
      <c r="Q35" s="100" t="e">
        <f t="shared" si="4"/>
        <v>#NUM!</v>
      </c>
      <c r="R35" s="47" t="e">
        <f t="shared" si="5"/>
        <v>#NUM!</v>
      </c>
      <c r="V35" s="20">
        <f t="shared" si="0"/>
        <v>3</v>
      </c>
      <c r="W35" s="1" t="str">
        <f xml:space="preserve"> データ!B35</f>
        <v>f1</v>
      </c>
      <c r="X35" s="1">
        <v>3</v>
      </c>
      <c r="Y35" s="1">
        <v>0</v>
      </c>
      <c r="Z35" s="1">
        <v>3</v>
      </c>
      <c r="AA35" s="54"/>
    </row>
    <row r="36" spans="1:27" x14ac:dyDescent="0.3">
      <c r="A36" s="4" t="str">
        <f xml:space="preserve"> データ!B36</f>
        <v>g1</v>
      </c>
      <c r="B36" s="78" t="str">
        <f t="shared" si="1"/>
        <v/>
      </c>
      <c r="C36" s="4"/>
      <c r="D36" s="4"/>
      <c r="E36" s="4"/>
      <c r="F36" s="4"/>
      <c r="G36" s="4"/>
      <c r="H36" s="4"/>
      <c r="I36" s="4"/>
      <c r="J36" s="4"/>
      <c r="L36" s="129" t="e">
        <f>SMALL($V$4:V$55,ROW(A33))</f>
        <v>#NUM!</v>
      </c>
      <c r="M36" s="106" t="s">
        <v>72</v>
      </c>
      <c r="N36" s="110" t="e">
        <f>IF(L36="","",INDEX(W:W,LARGE(INDEX((V$4:V$55=L36)*ROW($4:$55),),COUNTIF(L36:L$55,L36))))</f>
        <v>#NUM!</v>
      </c>
      <c r="O36" s="34" t="e">
        <f t="shared" si="2"/>
        <v>#NUM!</v>
      </c>
      <c r="P36" s="112" t="e">
        <f t="shared" si="3"/>
        <v>#NUM!</v>
      </c>
      <c r="Q36" s="100" t="e">
        <f t="shared" si="4"/>
        <v>#NUM!</v>
      </c>
      <c r="R36" s="47" t="e">
        <f t="shared" si="5"/>
        <v>#NUM!</v>
      </c>
      <c r="V36" s="20" t="str">
        <f t="shared" si="0"/>
        <v xml:space="preserve"> </v>
      </c>
      <c r="W36" s="1" t="str">
        <f xml:space="preserve"> データ!B36</f>
        <v>g1</v>
      </c>
      <c r="AA36" s="54"/>
    </row>
    <row r="37" spans="1:27" x14ac:dyDescent="0.3">
      <c r="A37" s="3" t="str">
        <f xml:space="preserve"> データ!B37</f>
        <v>h1</v>
      </c>
      <c r="B37" s="79" t="str">
        <f t="shared" si="1"/>
        <v/>
      </c>
      <c r="C37" s="3"/>
      <c r="D37" s="3"/>
      <c r="E37" s="3"/>
      <c r="F37" s="3"/>
      <c r="G37" s="3"/>
      <c r="H37" s="3"/>
      <c r="I37" s="3"/>
      <c r="J37" s="3"/>
      <c r="L37" s="129" t="e">
        <f>SMALL($V$4:V$55,ROW(A34))</f>
        <v>#NUM!</v>
      </c>
      <c r="M37" s="106" t="s">
        <v>72</v>
      </c>
      <c r="N37" s="110" t="e">
        <f>IF(L37="","",INDEX(W:W,LARGE(INDEX((V$4:V$55=L37)*ROW($4:$55),),COUNTIF(L37:L$55,L37))))</f>
        <v>#NUM!</v>
      </c>
      <c r="O37" s="34" t="e">
        <f t="shared" si="2"/>
        <v>#NUM!</v>
      </c>
      <c r="P37" s="112" t="e">
        <f t="shared" si="3"/>
        <v>#NUM!</v>
      </c>
      <c r="Q37" s="100" t="e">
        <f t="shared" si="4"/>
        <v>#NUM!</v>
      </c>
      <c r="R37" s="86" t="e">
        <f t="shared" si="5"/>
        <v>#NUM!</v>
      </c>
      <c r="V37" s="20" t="str">
        <f t="shared" si="0"/>
        <v xml:space="preserve"> </v>
      </c>
      <c r="W37" s="1" t="str">
        <f xml:space="preserve"> データ!B37</f>
        <v>h1</v>
      </c>
      <c r="AA37" s="54"/>
    </row>
    <row r="38" spans="1:27" x14ac:dyDescent="0.3">
      <c r="A38" s="4" t="str">
        <f xml:space="preserve"> データ!B38</f>
        <v>i1</v>
      </c>
      <c r="B38" s="78"/>
      <c r="C38" s="4"/>
      <c r="D38" s="4"/>
      <c r="E38" s="4"/>
      <c r="F38" s="4"/>
      <c r="G38" s="4"/>
      <c r="H38" s="4"/>
      <c r="I38" s="4"/>
      <c r="J38" s="4"/>
      <c r="L38" s="129" t="e">
        <f>SMALL($V$4:V$55,ROW(A35))</f>
        <v>#NUM!</v>
      </c>
      <c r="M38" s="106" t="s">
        <v>72</v>
      </c>
      <c r="N38" s="110" t="e">
        <f>IF(L38="","",INDEX(W:W,LARGE(INDEX((V$4:V$55=L38)*ROW($4:$55),),COUNTIF(L38:L$55,L38))))</f>
        <v>#NUM!</v>
      </c>
      <c r="O38" s="34" t="e">
        <f t="shared" si="2"/>
        <v>#NUM!</v>
      </c>
      <c r="P38" s="112" t="e">
        <f t="shared" si="3"/>
        <v>#NUM!</v>
      </c>
      <c r="Q38" s="100" t="e">
        <f t="shared" si="4"/>
        <v>#NUM!</v>
      </c>
      <c r="R38" s="47" t="e">
        <f t="shared" si="5"/>
        <v>#NUM!</v>
      </c>
      <c r="W38" s="1" t="str">
        <f xml:space="preserve"> データ!B38</f>
        <v>i1</v>
      </c>
      <c r="AA38" s="54"/>
    </row>
    <row r="39" spans="1:27" x14ac:dyDescent="0.3">
      <c r="A39" s="3" t="str">
        <f xml:space="preserve"> データ!B39</f>
        <v>j1</v>
      </c>
      <c r="B39" s="79" t="str">
        <f t="shared" si="1"/>
        <v/>
      </c>
      <c r="C39" s="3"/>
      <c r="D39" s="3"/>
      <c r="E39" s="3"/>
      <c r="F39" s="3"/>
      <c r="G39" s="3"/>
      <c r="H39" s="3"/>
      <c r="I39" s="3"/>
      <c r="J39" s="3"/>
      <c r="L39" s="129" t="e">
        <f>SMALL($V$4:V$55,ROW(A36))</f>
        <v>#NUM!</v>
      </c>
      <c r="M39" s="106" t="s">
        <v>72</v>
      </c>
      <c r="N39" s="110" t="e">
        <f>IF(L39="","",INDEX(W:W,LARGE(INDEX((V$4:V$55=L39)*ROW($4:$55),),COUNTIF(L39:L$55,L39))))</f>
        <v>#NUM!</v>
      </c>
      <c r="O39" s="34" t="e">
        <f t="shared" si="2"/>
        <v>#NUM!</v>
      </c>
      <c r="P39" s="112" t="e">
        <f t="shared" si="3"/>
        <v>#NUM!</v>
      </c>
      <c r="Q39" s="100" t="e">
        <f t="shared" si="4"/>
        <v>#NUM!</v>
      </c>
      <c r="R39" s="47" t="e">
        <f t="shared" si="5"/>
        <v>#NUM!</v>
      </c>
      <c r="V39" s="20" t="str">
        <f t="shared" si="0"/>
        <v xml:space="preserve"> </v>
      </c>
      <c r="W39" s="1" t="str">
        <f xml:space="preserve"> データ!B39</f>
        <v>j1</v>
      </c>
      <c r="AA39" s="54"/>
    </row>
    <row r="40" spans="1:27" x14ac:dyDescent="0.3">
      <c r="A40" s="4" t="str">
        <f xml:space="preserve"> データ!B40</f>
        <v>k1</v>
      </c>
      <c r="B40" s="78" t="str">
        <f t="shared" si="1"/>
        <v/>
      </c>
      <c r="C40" s="4"/>
      <c r="D40" s="4"/>
      <c r="E40" s="4"/>
      <c r="F40" s="4"/>
      <c r="G40" s="4"/>
      <c r="H40" s="4"/>
      <c r="I40" s="4"/>
      <c r="J40" s="4"/>
      <c r="L40" s="129" t="e">
        <f>SMALL($V$4:V$55,ROW(A37))</f>
        <v>#NUM!</v>
      </c>
      <c r="M40" s="106" t="s">
        <v>72</v>
      </c>
      <c r="N40" s="110" t="e">
        <f>IF(L40="","",INDEX(W:W,LARGE(INDEX((V$4:V$55=L40)*ROW($4:$55),),COUNTIF(L40:L$55,L40))))</f>
        <v>#NUM!</v>
      </c>
      <c r="O40" s="34" t="e">
        <f t="shared" si="2"/>
        <v>#NUM!</v>
      </c>
      <c r="P40" s="112" t="e">
        <f t="shared" si="3"/>
        <v>#NUM!</v>
      </c>
      <c r="Q40" s="100" t="e">
        <f t="shared" si="4"/>
        <v>#NUM!</v>
      </c>
      <c r="R40" s="47" t="e">
        <f t="shared" si="5"/>
        <v>#NUM!</v>
      </c>
      <c r="V40" s="20" t="str">
        <f t="shared" si="0"/>
        <v xml:space="preserve"> </v>
      </c>
      <c r="W40" s="1" t="str">
        <f xml:space="preserve"> データ!B40</f>
        <v>k1</v>
      </c>
      <c r="AA40" s="54"/>
    </row>
    <row r="41" spans="1:27" x14ac:dyDescent="0.3">
      <c r="A41" s="3" t="str">
        <f xml:space="preserve"> データ!B41</f>
        <v>l1</v>
      </c>
      <c r="B41" s="79" t="str">
        <f t="shared" si="1"/>
        <v/>
      </c>
      <c r="C41" s="3"/>
      <c r="D41" s="3"/>
      <c r="E41" s="3"/>
      <c r="F41" s="3"/>
      <c r="G41" s="3"/>
      <c r="H41" s="3"/>
      <c r="I41" s="3"/>
      <c r="J41" s="3"/>
      <c r="L41" s="129" t="e">
        <f>SMALL($V$4:V$55,ROW(A38))</f>
        <v>#NUM!</v>
      </c>
      <c r="M41" s="106" t="s">
        <v>72</v>
      </c>
      <c r="N41" s="110" t="e">
        <f>IF(L41="","",INDEX(W:W,LARGE(INDEX((V$4:V$55=L41)*ROW($4:$55),),COUNTIF(L41:L$55,L41))))</f>
        <v>#NUM!</v>
      </c>
      <c r="O41" s="34" t="e">
        <f t="shared" si="2"/>
        <v>#NUM!</v>
      </c>
      <c r="P41" s="112" t="e">
        <f t="shared" si="3"/>
        <v>#NUM!</v>
      </c>
      <c r="Q41" s="100" t="e">
        <f t="shared" si="4"/>
        <v>#NUM!</v>
      </c>
      <c r="R41" s="47" t="e">
        <f t="shared" si="5"/>
        <v>#NUM!</v>
      </c>
      <c r="V41" s="20" t="str">
        <f t="shared" si="0"/>
        <v xml:space="preserve"> </v>
      </c>
      <c r="W41" s="1" t="str">
        <f xml:space="preserve"> データ!B41</f>
        <v>l1</v>
      </c>
      <c r="AA41" s="54"/>
    </row>
    <row r="42" spans="1:27" x14ac:dyDescent="0.3">
      <c r="A42" s="4" t="str">
        <f xml:space="preserve"> データ!B42</f>
        <v>m1</v>
      </c>
      <c r="B42" s="78" t="str">
        <f t="shared" si="1"/>
        <v/>
      </c>
      <c r="C42" s="4"/>
      <c r="D42" s="4"/>
      <c r="E42" s="4"/>
      <c r="F42" s="4"/>
      <c r="G42" s="4"/>
      <c r="H42" s="4"/>
      <c r="I42" s="4"/>
      <c r="J42" s="4"/>
      <c r="L42" s="128" t="e">
        <f>SMALL($V$4:V$55,ROW(A39))</f>
        <v>#NUM!</v>
      </c>
      <c r="M42" s="119" t="s">
        <v>72</v>
      </c>
      <c r="N42" s="107" t="e">
        <f>IF(L42="","",INDEX(W:W,LARGE(INDEX((V$4:V$55=L42)*ROW($4:$55),),COUNTIF(L42:L$55,L42))))</f>
        <v>#NUM!</v>
      </c>
      <c r="O42" s="120" t="e">
        <f t="shared" si="2"/>
        <v>#NUM!</v>
      </c>
      <c r="P42" s="121" t="e">
        <f t="shared" si="3"/>
        <v>#NUM!</v>
      </c>
      <c r="Q42" s="102" t="e">
        <f t="shared" si="4"/>
        <v>#NUM!</v>
      </c>
      <c r="R42" s="86" t="e">
        <f t="shared" si="5"/>
        <v>#NUM!</v>
      </c>
      <c r="V42" s="20" t="str">
        <f t="shared" si="0"/>
        <v xml:space="preserve"> </v>
      </c>
      <c r="W42" s="1" t="str">
        <f xml:space="preserve"> データ!B42</f>
        <v>m1</v>
      </c>
      <c r="AA42" s="54"/>
    </row>
    <row r="43" spans="1:27" x14ac:dyDescent="0.3">
      <c r="A43" s="3" t="str">
        <f xml:space="preserve"> データ!B43</f>
        <v>n1</v>
      </c>
      <c r="B43" s="79" t="str">
        <f t="shared" si="1"/>
        <v/>
      </c>
      <c r="C43" s="3"/>
      <c r="D43" s="3"/>
      <c r="E43" s="3"/>
      <c r="F43" s="3"/>
      <c r="G43" s="3"/>
      <c r="H43" s="3"/>
      <c r="I43" s="3"/>
      <c r="J43" s="3"/>
      <c r="L43" s="129" t="e">
        <f>SMALL($V$4:V$55,ROW(A40))</f>
        <v>#NUM!</v>
      </c>
      <c r="M43" s="132" t="s">
        <v>72</v>
      </c>
      <c r="N43" s="110" t="e">
        <f>IF(L43="","",INDEX(W:W,LARGE(INDEX((V$4:V$55=L43)*ROW($4:$55),),COUNTIF(L43:L$55,L43))))</f>
        <v>#NUM!</v>
      </c>
      <c r="O43" s="122" t="e">
        <f t="shared" si="2"/>
        <v>#NUM!</v>
      </c>
      <c r="P43" s="111" t="e">
        <f t="shared" si="3"/>
        <v>#NUM!</v>
      </c>
      <c r="Q43" s="100" t="e">
        <f t="shared" si="4"/>
        <v>#NUM!</v>
      </c>
      <c r="R43" s="47" t="e">
        <f t="shared" si="5"/>
        <v>#NUM!</v>
      </c>
      <c r="V43" s="20" t="str">
        <f t="shared" si="0"/>
        <v xml:space="preserve"> </v>
      </c>
      <c r="W43" s="1" t="str">
        <f xml:space="preserve"> データ!B43</f>
        <v>n1</v>
      </c>
      <c r="AA43" s="54"/>
    </row>
    <row r="44" spans="1:27" x14ac:dyDescent="0.3">
      <c r="A44" s="4" t="str">
        <f xml:space="preserve"> データ!B44</f>
        <v>o1</v>
      </c>
      <c r="B44" s="78" t="str">
        <f t="shared" si="1"/>
        <v/>
      </c>
      <c r="C44" s="4"/>
      <c r="D44" s="4"/>
      <c r="E44" s="4"/>
      <c r="F44" s="4"/>
      <c r="G44" s="4"/>
      <c r="H44" s="4"/>
      <c r="I44" s="4"/>
      <c r="J44" s="4"/>
      <c r="L44" s="129" t="e">
        <f>SMALL($V$4:V$55,ROW(A41))</f>
        <v>#NUM!</v>
      </c>
      <c r="M44" s="132" t="s">
        <v>72</v>
      </c>
      <c r="N44" s="110" t="e">
        <f>IF(L44="","",INDEX(W:W,LARGE(INDEX((V$4:V$55=L44)*ROW($4:$55),),COUNTIF(L44:L$55,L44))))</f>
        <v>#NUM!</v>
      </c>
      <c r="O44" s="122" t="e">
        <f t="shared" si="2"/>
        <v>#NUM!</v>
      </c>
      <c r="P44" s="111" t="e">
        <f t="shared" si="3"/>
        <v>#NUM!</v>
      </c>
      <c r="Q44" s="100" t="e">
        <f t="shared" si="4"/>
        <v>#NUM!</v>
      </c>
      <c r="R44" s="47" t="e">
        <f t="shared" si="5"/>
        <v>#NUM!</v>
      </c>
      <c r="V44" s="20" t="str">
        <f t="shared" si="0"/>
        <v xml:space="preserve"> </v>
      </c>
      <c r="W44" s="1" t="str">
        <f xml:space="preserve"> データ!B44</f>
        <v>o1</v>
      </c>
      <c r="AA44" s="54"/>
    </row>
    <row r="45" spans="1:27" x14ac:dyDescent="0.3">
      <c r="A45" s="115" t="str">
        <f xml:space="preserve"> データ!B45</f>
        <v>p1</v>
      </c>
      <c r="B45" s="116" t="str">
        <f t="shared" si="1"/>
        <v/>
      </c>
      <c r="C45" s="115"/>
      <c r="D45" s="115"/>
      <c r="E45" s="115"/>
      <c r="F45" s="115"/>
      <c r="G45" s="115"/>
      <c r="H45" s="115"/>
      <c r="I45" s="115"/>
      <c r="J45" s="115"/>
      <c r="L45" s="129" t="e">
        <f>SMALL($V$4:V$55,ROW(A42))</f>
        <v>#NUM!</v>
      </c>
      <c r="M45" s="132" t="s">
        <v>72</v>
      </c>
      <c r="N45" s="110" t="e">
        <f>IF(L45="","",INDEX(W:W,LARGE(INDEX((V$4:V$55=L45)*ROW($4:$55),),COUNTIF(L45:L$55,L45))))</f>
        <v>#NUM!</v>
      </c>
      <c r="O45" s="122" t="e">
        <f t="shared" si="2"/>
        <v>#NUM!</v>
      </c>
      <c r="P45" s="111" t="e">
        <f t="shared" si="3"/>
        <v>#NUM!</v>
      </c>
      <c r="Q45" s="100" t="e">
        <f t="shared" si="4"/>
        <v>#NUM!</v>
      </c>
      <c r="R45" s="47" t="e">
        <f t="shared" si="5"/>
        <v>#NUM!</v>
      </c>
      <c r="V45" s="20" t="str">
        <f t="shared" si="0"/>
        <v xml:space="preserve"> </v>
      </c>
      <c r="W45" s="1" t="str">
        <f xml:space="preserve"> データ!B45</f>
        <v>p1</v>
      </c>
      <c r="AA45" s="54"/>
    </row>
    <row r="46" spans="1:27" x14ac:dyDescent="0.3">
      <c r="A46" s="4" t="str">
        <f xml:space="preserve"> データ!B46</f>
        <v>q1</v>
      </c>
      <c r="B46" s="78" t="str">
        <f t="shared" si="1"/>
        <v/>
      </c>
      <c r="C46" s="4"/>
      <c r="D46" s="4"/>
      <c r="E46" s="4"/>
      <c r="F46" s="4"/>
      <c r="G46" s="4"/>
      <c r="H46" s="4"/>
      <c r="I46" s="4"/>
      <c r="J46" s="4"/>
      <c r="L46" s="129" t="e">
        <f>SMALL($V$4:V$55,ROW(A43))</f>
        <v>#NUM!</v>
      </c>
      <c r="M46" s="132" t="s">
        <v>72</v>
      </c>
      <c r="N46" s="110" t="e">
        <f>IF(L46="","",INDEX(W:W,LARGE(INDEX((V$4:V$55=L46)*ROW($4:$55),),COUNTIF(L46:L$55,L46))))</f>
        <v>#NUM!</v>
      </c>
      <c r="O46" s="122" t="e">
        <f t="shared" si="2"/>
        <v>#NUM!</v>
      </c>
      <c r="P46" s="111" t="e">
        <f t="shared" si="3"/>
        <v>#NUM!</v>
      </c>
      <c r="Q46" s="100" t="e">
        <f t="shared" si="4"/>
        <v>#NUM!</v>
      </c>
      <c r="R46" s="47" t="e">
        <f t="shared" si="5"/>
        <v>#NUM!</v>
      </c>
      <c r="V46" s="20" t="str">
        <f t="shared" si="0"/>
        <v xml:space="preserve"> </v>
      </c>
      <c r="W46" s="1" t="str">
        <f xml:space="preserve"> データ!B46</f>
        <v>q1</v>
      </c>
      <c r="AA46" s="54"/>
    </row>
    <row r="47" spans="1:27" x14ac:dyDescent="0.3">
      <c r="A47" s="3" t="str">
        <f xml:space="preserve"> データ!B47</f>
        <v>r1</v>
      </c>
      <c r="B47" s="79" t="str">
        <f t="shared" si="1"/>
        <v/>
      </c>
      <c r="C47" s="3"/>
      <c r="D47" s="3"/>
      <c r="E47" s="3"/>
      <c r="F47" s="3"/>
      <c r="G47" s="3"/>
      <c r="H47" s="3"/>
      <c r="I47" s="3"/>
      <c r="J47" s="3"/>
      <c r="L47" s="129" t="e">
        <f>SMALL($V$4:V$55,ROW(A44))</f>
        <v>#NUM!</v>
      </c>
      <c r="M47" s="132" t="s">
        <v>72</v>
      </c>
      <c r="N47" s="110" t="e">
        <f>IF(L47="","",INDEX(W:W,LARGE(INDEX((V$4:V$55=L47)*ROW($4:$55),),COUNTIF(L47:L$55,L47))))</f>
        <v>#NUM!</v>
      </c>
      <c r="O47" s="122" t="e">
        <f t="shared" si="2"/>
        <v>#NUM!</v>
      </c>
      <c r="P47" s="111" t="e">
        <f t="shared" si="3"/>
        <v>#NUM!</v>
      </c>
      <c r="Q47" s="100" t="e">
        <f t="shared" si="4"/>
        <v>#NUM!</v>
      </c>
      <c r="R47" s="47" t="e">
        <f t="shared" si="5"/>
        <v>#NUM!</v>
      </c>
      <c r="V47" s="20" t="str">
        <f t="shared" si="0"/>
        <v xml:space="preserve"> </v>
      </c>
      <c r="W47" s="1" t="str">
        <f xml:space="preserve"> データ!B47</f>
        <v>r1</v>
      </c>
      <c r="AA47" s="54"/>
    </row>
    <row r="48" spans="1:27" x14ac:dyDescent="0.3">
      <c r="A48" s="4" t="str">
        <f xml:space="preserve"> データ!B48</f>
        <v>s1</v>
      </c>
      <c r="B48" s="78">
        <f t="shared" si="1"/>
        <v>1</v>
      </c>
      <c r="C48" s="4">
        <v>16</v>
      </c>
      <c r="D48" s="4">
        <v>16</v>
      </c>
      <c r="E48" s="4"/>
      <c r="F48" s="4">
        <v>4</v>
      </c>
      <c r="G48" s="4"/>
      <c r="H48" s="4"/>
      <c r="I48" s="4"/>
      <c r="J48" s="4"/>
      <c r="L48" s="129" t="e">
        <f>SMALL($V$4:V$55,ROW(A45))</f>
        <v>#NUM!</v>
      </c>
      <c r="M48" s="132" t="s">
        <v>72</v>
      </c>
      <c r="N48" s="110" t="e">
        <f>IF(L48="","",INDEX(W:W,LARGE(INDEX((V$4:V$55=L48)*ROW($4:$55),),COUNTIF(L48:L$55,L48))))</f>
        <v>#NUM!</v>
      </c>
      <c r="O48" s="122" t="e">
        <f t="shared" si="2"/>
        <v>#NUM!</v>
      </c>
      <c r="P48" s="111" t="e">
        <f t="shared" si="3"/>
        <v>#NUM!</v>
      </c>
      <c r="Q48" s="100" t="e">
        <f t="shared" si="4"/>
        <v>#NUM!</v>
      </c>
      <c r="R48" s="47" t="e">
        <f t="shared" si="5"/>
        <v>#NUM!</v>
      </c>
      <c r="V48" s="20">
        <f t="shared" si="0"/>
        <v>1</v>
      </c>
      <c r="W48" s="1" t="str">
        <f xml:space="preserve"> データ!B48</f>
        <v>s1</v>
      </c>
      <c r="X48" s="1">
        <v>0</v>
      </c>
      <c r="Y48" s="1">
        <v>4</v>
      </c>
      <c r="Z48" s="1">
        <v>4</v>
      </c>
      <c r="AA48" s="54"/>
    </row>
    <row r="49" spans="1:27" ht="21" thickBot="1" x14ac:dyDescent="0.35">
      <c r="A49" s="3" t="str">
        <f xml:space="preserve"> データ!B49</f>
        <v>t1</v>
      </c>
      <c r="B49" s="79" t="str">
        <f t="shared" si="1"/>
        <v/>
      </c>
      <c r="C49" s="3"/>
      <c r="D49" s="3"/>
      <c r="E49" s="3"/>
      <c r="F49" s="3"/>
      <c r="G49" s="3"/>
      <c r="H49" s="3"/>
      <c r="I49" s="3"/>
      <c r="J49" s="3"/>
      <c r="L49" s="130" t="e">
        <f>SMALL($V$4:V$55,ROW(A46))</f>
        <v>#NUM!</v>
      </c>
      <c r="M49" s="133" t="s">
        <v>72</v>
      </c>
      <c r="N49" s="124" t="e">
        <f>IF(L49="","",INDEX(W:W,LARGE(INDEX((V$4:V$55=L49)*ROW($4:$55),),COUNTIF(L49:L$55,L49))))</f>
        <v>#NUM!</v>
      </c>
      <c r="O49" s="123" t="e">
        <f t="shared" si="2"/>
        <v>#NUM!</v>
      </c>
      <c r="P49" s="126" t="e">
        <f t="shared" si="3"/>
        <v>#NUM!</v>
      </c>
      <c r="Q49" s="125" t="e">
        <f t="shared" si="4"/>
        <v>#NUM!</v>
      </c>
      <c r="R49" s="48" t="e">
        <f t="shared" si="5"/>
        <v>#NUM!</v>
      </c>
      <c r="V49" s="20" t="str">
        <f t="shared" si="0"/>
        <v xml:space="preserve"> </v>
      </c>
      <c r="W49" s="1" t="str">
        <f xml:space="preserve"> データ!B49</f>
        <v>t1</v>
      </c>
      <c r="AA49" s="54"/>
    </row>
    <row r="50" spans="1:27" x14ac:dyDescent="0.3">
      <c r="A50" s="4" t="str">
        <f xml:space="preserve"> データ!B50</f>
        <v>u1</v>
      </c>
      <c r="B50" s="78"/>
      <c r="C50" s="4"/>
      <c r="D50" s="4"/>
      <c r="E50" s="4"/>
      <c r="F50" s="4"/>
      <c r="G50" s="4"/>
      <c r="H50" s="4"/>
      <c r="I50" s="4"/>
      <c r="J50" s="4"/>
      <c r="L50" s="131"/>
      <c r="M50" s="134"/>
      <c r="W50" s="1" t="str">
        <f xml:space="preserve"> データ!B50</f>
        <v>u1</v>
      </c>
      <c r="AA50" s="54"/>
    </row>
    <row r="51" spans="1:27" x14ac:dyDescent="0.3">
      <c r="A51" s="3" t="str">
        <f xml:space="preserve"> データ!B51</f>
        <v>v1</v>
      </c>
      <c r="B51" s="79" t="str">
        <f t="shared" si="1"/>
        <v/>
      </c>
      <c r="C51" s="3"/>
      <c r="D51" s="3"/>
      <c r="E51" s="3"/>
      <c r="F51" s="3"/>
      <c r="G51" s="3"/>
      <c r="H51" s="3"/>
      <c r="I51" s="3"/>
      <c r="J51" s="3"/>
      <c r="L51" s="131"/>
      <c r="M51" s="134"/>
      <c r="V51" s="20" t="str">
        <f t="shared" si="0"/>
        <v xml:space="preserve"> </v>
      </c>
      <c r="W51" s="1" t="str">
        <f xml:space="preserve"> データ!B51</f>
        <v>v1</v>
      </c>
      <c r="AA51" s="54"/>
    </row>
    <row r="52" spans="1:27" ht="21" thickBot="1" x14ac:dyDescent="0.35">
      <c r="A52" s="117" t="str">
        <f xml:space="preserve"> データ!B52</f>
        <v>w1</v>
      </c>
      <c r="B52" s="118" t="str">
        <f t="shared" si="1"/>
        <v/>
      </c>
      <c r="C52" s="117"/>
      <c r="D52" s="117"/>
      <c r="E52" s="117"/>
      <c r="F52" s="117"/>
      <c r="G52" s="117"/>
      <c r="H52" s="117"/>
      <c r="I52" s="117"/>
      <c r="J52" s="117"/>
      <c r="L52" s="131"/>
      <c r="M52" s="134"/>
      <c r="V52" s="20" t="str">
        <f t="shared" si="0"/>
        <v xml:space="preserve"> </v>
      </c>
      <c r="W52" s="1" t="str">
        <f xml:space="preserve"> データ!B52</f>
        <v>w1</v>
      </c>
      <c r="AA52" s="54"/>
    </row>
    <row r="53" spans="1:27" x14ac:dyDescent="0.3">
      <c r="L53" s="131"/>
      <c r="M53" s="134"/>
    </row>
    <row r="54" spans="1:27" x14ac:dyDescent="0.3">
      <c r="L54" s="131"/>
      <c r="M54" s="134"/>
    </row>
    <row r="55" spans="1:27" x14ac:dyDescent="0.3">
      <c r="L55" s="131"/>
      <c r="M55" s="134"/>
    </row>
  </sheetData>
  <sheetProtection formatCells="0" formatColumns="0" formatRows="0" insertColumns="0" insertRows="0" insertHyperlinks="0" sort="0" autoFilter="0" pivotTables="0"/>
  <sortState ref="L4:L5">
    <sortCondition descending="1" ref="L4"/>
  </sortState>
  <customSheetViews>
    <customSheetView guid="{EF68B12E-EBBA-2A41-A53D-5D4E56265AE9}" scale="116" showRuler="0">
      <pane ySplit="3" topLeftCell="A4" activePane="bottomLeft" state="frozenSplit"/>
      <selection pane="bottomLeft" activeCell="B4" sqref="B4"/>
      <pageMargins left="0.25" right="0.25" top="0" bottom="0" header="0" footer="0"/>
      <pageSetup paperSize="9" scale="64" orientation="landscape" horizontalDpi="0" verticalDpi="0"/>
    </customSheetView>
  </customSheetViews>
  <mergeCells count="3">
    <mergeCell ref="V3:W3"/>
    <mergeCell ref="P3:Q3"/>
    <mergeCell ref="L3:O3"/>
  </mergeCells>
  <phoneticPr fontId="3"/>
  <pageMargins left="0.25" right="0.25" top="0" bottom="0" header="0" footer="0"/>
  <pageSetup paperSize="9" scale="64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3" name="Button 3">
              <controlPr defaultSize="0" print="0" autoFill="0" autoPict="0" macro="[0]!_xludf.aggregate">
                <anchor moveWithCells="1" sizeWithCells="1">
                  <from>
                    <xdr:col>8</xdr:col>
                    <xdr:colOff>292100</xdr:colOff>
                    <xdr:row>0</xdr:row>
                    <xdr:rowOff>190500</xdr:rowOff>
                  </from>
                  <to>
                    <xdr:col>9</xdr:col>
                    <xdr:colOff>660400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 tint="-0.249977111117893"/>
  </sheetPr>
  <dimension ref="B1:Q38"/>
  <sheetViews>
    <sheetView showRuler="0" zoomScaleNormal="80" zoomScalePageLayoutView="80" workbookViewId="0">
      <selection activeCell="L6" sqref="L6"/>
    </sheetView>
  </sheetViews>
  <sheetFormatPr baseColWidth="10" defaultColWidth="12.7109375" defaultRowHeight="20" x14ac:dyDescent="0.3"/>
  <cols>
    <col min="1" max="1" width="11.85546875" customWidth="1"/>
    <col min="10" max="10" width="12.7109375" customWidth="1"/>
    <col min="16" max="16" width="12.7109375" style="16" customWidth="1"/>
    <col min="17" max="17" width="12.7109375" style="13" customWidth="1"/>
  </cols>
  <sheetData>
    <row r="1" spans="2:17" x14ac:dyDescent="0.3">
      <c r="P1" s="15"/>
    </row>
    <row r="2" spans="2:17" s="1" customFormat="1" ht="43" customHeight="1" x14ac:dyDescent="0.3">
      <c r="B2" s="150" t="s">
        <v>20</v>
      </c>
      <c r="C2" s="150"/>
      <c r="D2" s="17" t="s">
        <v>44</v>
      </c>
      <c r="E2" s="11" t="s">
        <v>19</v>
      </c>
      <c r="F2" s="151" t="s">
        <v>130</v>
      </c>
      <c r="G2" s="151"/>
      <c r="P2" s="20"/>
      <c r="Q2" s="10"/>
    </row>
    <row r="3" spans="2:17" x14ac:dyDescent="0.3">
      <c r="P3" s="15"/>
    </row>
    <row r="4" spans="2:17" s="8" customFormat="1" ht="34" customHeight="1" x14ac:dyDescent="0.3">
      <c r="B4" s="11" t="s">
        <v>30</v>
      </c>
      <c r="C4" s="18">
        <f>INDEX(集計!A4:B46,MATCH(F2,集計!A4:A46,0),2)</f>
        <v>0.67400000000000004</v>
      </c>
      <c r="D4" s="11" t="s">
        <v>17</v>
      </c>
      <c r="E4" s="19">
        <f>INDEX(集計!A4:C46,MATCH(F2,集計!A4:A46,0),3)</f>
        <v>52</v>
      </c>
      <c r="F4" s="11" t="s">
        <v>18</v>
      </c>
      <c r="G4" s="19">
        <f>INDEX(集計!A4:D46,MATCH(F2,集計!A4:A46,0),4)</f>
        <v>35</v>
      </c>
      <c r="H4" s="8" t="s">
        <v>21</v>
      </c>
      <c r="I4" s="19">
        <v>13</v>
      </c>
      <c r="P4" s="21"/>
      <c r="Q4" s="12"/>
    </row>
    <row r="5" spans="2:17" x14ac:dyDescent="0.3">
      <c r="P5" s="14" t="s">
        <v>23</v>
      </c>
    </row>
    <row r="6" spans="2:17" x14ac:dyDescent="0.3">
      <c r="P6" s="15" t="s">
        <v>134</v>
      </c>
      <c r="Q6" s="13">
        <v>0.75</v>
      </c>
    </row>
    <row r="7" spans="2:17" x14ac:dyDescent="0.3">
      <c r="P7" s="15" t="s">
        <v>135</v>
      </c>
      <c r="Q7" s="13">
        <v>0.25</v>
      </c>
    </row>
    <row r="8" spans="2:17" x14ac:dyDescent="0.3">
      <c r="P8" s="15" t="s">
        <v>136</v>
      </c>
      <c r="Q8" s="13">
        <v>0.4375</v>
      </c>
    </row>
    <row r="9" spans="2:17" x14ac:dyDescent="0.3">
      <c r="P9" s="15" t="s">
        <v>137</v>
      </c>
      <c r="Q9" s="13">
        <v>0.9375</v>
      </c>
    </row>
    <row r="10" spans="2:17" x14ac:dyDescent="0.3">
      <c r="P10" s="15"/>
    </row>
    <row r="11" spans="2:17" x14ac:dyDescent="0.3">
      <c r="P11" s="15"/>
    </row>
    <row r="12" spans="2:17" x14ac:dyDescent="0.3">
      <c r="P12" s="15"/>
    </row>
    <row r="13" spans="2:17" x14ac:dyDescent="0.3">
      <c r="P13" s="15"/>
    </row>
    <row r="14" spans="2:17" x14ac:dyDescent="0.3">
      <c r="P14" s="15"/>
    </row>
    <row r="15" spans="2:17" x14ac:dyDescent="0.3">
      <c r="P15" s="15"/>
    </row>
    <row r="16" spans="2:17" x14ac:dyDescent="0.3">
      <c r="P16" s="15"/>
    </row>
    <row r="17" spans="2:17" x14ac:dyDescent="0.3">
      <c r="P17" s="15"/>
    </row>
    <row r="18" spans="2:17" x14ac:dyDescent="0.3">
      <c r="P18" s="22"/>
    </row>
    <row r="19" spans="2:17" x14ac:dyDescent="0.3">
      <c r="P19" s="15"/>
    </row>
    <row r="20" spans="2:17" ht="38" customHeight="1" x14ac:dyDescent="0.3">
      <c r="B20" s="11" t="s">
        <v>24</v>
      </c>
      <c r="C20" s="23">
        <v>0.69230769230769229</v>
      </c>
      <c r="D20" s="11" t="s">
        <v>25</v>
      </c>
      <c r="E20" s="23">
        <v>0.69230769230769229</v>
      </c>
      <c r="F20" s="11" t="s">
        <v>26</v>
      </c>
      <c r="G20" s="23">
        <v>0.69230769230769229</v>
      </c>
      <c r="H20" s="11" t="s">
        <v>27</v>
      </c>
      <c r="I20" s="23">
        <v>0.61538461538461542</v>
      </c>
    </row>
    <row r="21" spans="2:17" ht="24" x14ac:dyDescent="0.35">
      <c r="C21" s="24"/>
      <c r="E21" s="26"/>
    </row>
    <row r="22" spans="2:17" ht="38" customHeight="1" x14ac:dyDescent="0.3">
      <c r="B22" s="8" t="s">
        <v>32</v>
      </c>
      <c r="C22" s="25">
        <f>INDEX(集計!V4:Y54,MATCH(F2,集計!A4:A46,0),4)</f>
        <v>6</v>
      </c>
      <c r="D22" s="11" t="s">
        <v>33</v>
      </c>
      <c r="E22" s="25">
        <f>INDEX(集計!V4:X54,MATCH(F2,集計!A4:A46,0),3)</f>
        <v>3</v>
      </c>
      <c r="F22" s="76"/>
      <c r="G22" s="16"/>
    </row>
    <row r="23" spans="2:17" ht="24" x14ac:dyDescent="0.35">
      <c r="C23" s="24"/>
      <c r="E23" s="26"/>
    </row>
    <row r="24" spans="2:17" ht="38" customHeight="1" x14ac:dyDescent="0.3">
      <c r="B24" s="8" t="s">
        <v>16</v>
      </c>
      <c r="C24" s="25">
        <f>INDEX(集計!V4:W46,MATCH(F2,集計!A4:A46,0),1)</f>
        <v>7</v>
      </c>
      <c r="D24" s="8" t="s">
        <v>28</v>
      </c>
      <c r="E24" s="23">
        <f>MAX(Q6:Q37)</f>
        <v>0.9375</v>
      </c>
      <c r="F24" s="8" t="s">
        <v>29</v>
      </c>
      <c r="G24" s="23">
        <f>MIN(Q6:Q37)</f>
        <v>0.25</v>
      </c>
      <c r="H24" s="1"/>
      <c r="I24" s="1"/>
      <c r="Q24"/>
    </row>
    <row r="38" spans="17:17" x14ac:dyDescent="0.3">
      <c r="Q38" s="13" t="s">
        <v>54</v>
      </c>
    </row>
  </sheetData>
  <customSheetViews>
    <customSheetView guid="{EF68B12E-EBBA-2A41-A53D-5D4E56265AE9}" scale="75" showRuler="0">
      <selection activeCell="L16" sqref="L16"/>
      <colBreaks count="1" manualBreakCount="1">
        <brk id="11" max="1048575" man="1"/>
      </colBreaks>
      <pageMargins left="0.7" right="0.7" top="0.75" bottom="0.75" header="0.3" footer="0.3"/>
      <pageSetup paperSize="9" scale="75" orientation="landscape" horizontalDpi="0" verticalDpi="0"/>
    </customSheetView>
  </customSheetViews>
  <mergeCells count="2">
    <mergeCell ref="B2:C2"/>
    <mergeCell ref="F2:G2"/>
  </mergeCells>
  <phoneticPr fontId="3"/>
  <pageMargins left="0.7" right="0.7" top="0.75" bottom="0.75" header="0.3" footer="0.3"/>
  <pageSetup paperSize="9" scale="75" orientation="landscape" horizontalDpi="0" verticalDpi="0"/>
  <colBreaks count="1" manualBreakCount="1">
    <brk id="11" max="1048575" man="1"/>
  </colBreak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individual">
                <anchor moveWithCells="1" sizeWithCells="1">
                  <from>
                    <xdr:col>9</xdr:col>
                    <xdr:colOff>76200</xdr:colOff>
                    <xdr:row>1</xdr:row>
                    <xdr:rowOff>50800</xdr:rowOff>
                  </from>
                  <to>
                    <xdr:col>10</xdr:col>
                    <xdr:colOff>165100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graqh">
                <anchor moveWithCells="1" sizeWithCells="1">
                  <from>
                    <xdr:col>11</xdr:col>
                    <xdr:colOff>368300</xdr:colOff>
                    <xdr:row>1</xdr:row>
                    <xdr:rowOff>101600</xdr:rowOff>
                  </from>
                  <to>
                    <xdr:col>12</xdr:col>
                    <xdr:colOff>711200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データ!$B$3:$B$55</xm:f>
          </x14:formula1>
          <xm:sqref>F2:G2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データ</vt:lpstr>
      <vt:lpstr>テンプレート</vt:lpstr>
      <vt:lpstr>3(火)</vt:lpstr>
      <vt:lpstr>7(土)</vt:lpstr>
      <vt:lpstr>8(日)</vt:lpstr>
      <vt:lpstr>10(火)</vt:lpstr>
      <vt:lpstr>集計</vt:lpstr>
      <vt:lpstr>個人的中表</vt:lpstr>
      <vt:lpstr>'10(火)'!弓道部メンバー表</vt:lpstr>
      <vt:lpstr>'3(火)'!弓道部メンバー表</vt:lpstr>
      <vt:lpstr>'7(土)'!弓道部メンバー表</vt:lpstr>
      <vt:lpstr>'8(日)'!弓道部メンバー表</vt:lpstr>
      <vt:lpstr>テンプレート!弓道部メンバー表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尾野公哉</cp:lastModifiedBy>
  <cp:lastPrinted>2018-06-27T02:47:10Z</cp:lastPrinted>
  <dcterms:created xsi:type="dcterms:W3CDTF">2017-02-16T07:01:01Z</dcterms:created>
  <dcterms:modified xsi:type="dcterms:W3CDTF">2019-01-20T12:56:55Z</dcterms:modified>
</cp:coreProperties>
</file>